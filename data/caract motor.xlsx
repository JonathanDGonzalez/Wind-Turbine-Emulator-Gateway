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jd_gonzalezc1_uniandes_edu_co/Documents/Clases/Taller de Potencia/GeneradorEolico/"/>
    </mc:Choice>
  </mc:AlternateContent>
  <xr:revisionPtr revIDLastSave="0" documentId="13_ncr:1_{ED7B3C9C-58F9-450A-BDBF-25D209D9BBAB}" xr6:coauthVersionLast="47" xr6:coauthVersionMax="47" xr10:uidLastSave="{00000000-0000-0000-0000-000000000000}"/>
  <bookViews>
    <workbookView xWindow="-120" yWindow="-120" windowWidth="29040" windowHeight="15720" xr2:uid="{8D759344-59B7-4587-9793-621BFDAA15F4}"/>
  </bookViews>
  <sheets>
    <sheet name="Sin carga" sheetId="1" r:id="rId1"/>
    <sheet name="Con carga " sheetId="3" r:id="rId2"/>
    <sheet name="Mediciones" sheetId="4" r:id="rId3"/>
    <sheet name="Compilado" sheetId="5" r:id="rId4"/>
    <sheet name="EjemplosCapturaDatos" sheetId="6" r:id="rId5"/>
    <sheet name="Posibles sensores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D3" i="7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B51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B31" i="4"/>
  <c r="B30" i="4" s="1"/>
  <c r="B27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B6" i="4"/>
  <c r="B3" i="4"/>
  <c r="H3" i="3"/>
  <c r="H4" i="3"/>
  <c r="H5" i="3"/>
  <c r="H6" i="3"/>
  <c r="H7" i="3"/>
  <c r="H8" i="3"/>
  <c r="H9" i="3"/>
  <c r="H10" i="3"/>
  <c r="H11" i="3"/>
  <c r="H12" i="3"/>
  <c r="H13" i="3"/>
  <c r="H14" i="3"/>
  <c r="G4" i="3"/>
  <c r="G5" i="3"/>
  <c r="G6" i="3"/>
  <c r="G7" i="3"/>
  <c r="G8" i="3"/>
  <c r="G9" i="3"/>
  <c r="G10" i="3"/>
  <c r="G11" i="3"/>
  <c r="G12" i="3"/>
  <c r="G13" i="3"/>
  <c r="G14" i="3"/>
  <c r="G3" i="3"/>
  <c r="E74" i="3"/>
  <c r="F63" i="3"/>
  <c r="F64" i="3"/>
  <c r="F65" i="3"/>
  <c r="F66" i="3"/>
  <c r="F67" i="3"/>
  <c r="F68" i="3"/>
  <c r="F69" i="3"/>
  <c r="F70" i="3"/>
  <c r="F71" i="3"/>
  <c r="F72" i="3"/>
  <c r="F73" i="3"/>
  <c r="F74" i="3"/>
  <c r="E71" i="3"/>
  <c r="E64" i="3"/>
  <c r="E65" i="3"/>
  <c r="E66" i="3"/>
  <c r="E67" i="3"/>
  <c r="E68" i="3"/>
  <c r="E69" i="3"/>
  <c r="E70" i="3"/>
  <c r="E72" i="3"/>
  <c r="E73" i="3"/>
  <c r="E63" i="3"/>
  <c r="D3" i="3"/>
  <c r="E3" i="3" s="1"/>
  <c r="K81" i="3"/>
  <c r="L81" i="3" s="1"/>
  <c r="D82" i="3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3" i="1"/>
  <c r="D3" i="1" s="1"/>
  <c r="K97" i="3"/>
  <c r="M97" i="3" s="1"/>
  <c r="N97" i="3" s="1"/>
  <c r="K98" i="3"/>
  <c r="L98" i="3" s="1"/>
  <c r="K99" i="3"/>
  <c r="M99" i="3" s="1"/>
  <c r="N99" i="3" s="1"/>
  <c r="K100" i="3"/>
  <c r="L100" i="3" s="1"/>
  <c r="K101" i="3"/>
  <c r="M101" i="3" s="1"/>
  <c r="N101" i="3" s="1"/>
  <c r="K96" i="3"/>
  <c r="K88" i="3"/>
  <c r="L88" i="3" s="1"/>
  <c r="K89" i="3"/>
  <c r="L89" i="3" s="1"/>
  <c r="K90" i="3"/>
  <c r="L90" i="3" s="1"/>
  <c r="K91" i="3"/>
  <c r="L91" i="3" s="1"/>
  <c r="K92" i="3"/>
  <c r="L92" i="3" s="1"/>
  <c r="K87" i="3"/>
  <c r="L87" i="3" s="1"/>
  <c r="K79" i="3"/>
  <c r="L79" i="3" s="1"/>
  <c r="K80" i="3"/>
  <c r="L80" i="3" s="1"/>
  <c r="K82" i="3"/>
  <c r="L82" i="3" s="1"/>
  <c r="K83" i="3"/>
  <c r="L83" i="3" s="1"/>
  <c r="K78" i="3"/>
  <c r="L78" i="3" s="1"/>
  <c r="J101" i="3"/>
  <c r="H101" i="3"/>
  <c r="F101" i="3"/>
  <c r="D101" i="3"/>
  <c r="J100" i="3"/>
  <c r="H100" i="3"/>
  <c r="F100" i="3"/>
  <c r="D100" i="3"/>
  <c r="J99" i="3"/>
  <c r="H99" i="3"/>
  <c r="F99" i="3"/>
  <c r="D99" i="3"/>
  <c r="J98" i="3"/>
  <c r="H98" i="3"/>
  <c r="F98" i="3"/>
  <c r="D98" i="3"/>
  <c r="J97" i="3"/>
  <c r="H97" i="3"/>
  <c r="F97" i="3"/>
  <c r="D97" i="3"/>
  <c r="J96" i="3"/>
  <c r="H96" i="3"/>
  <c r="F96" i="3"/>
  <c r="D96" i="3"/>
  <c r="J92" i="3"/>
  <c r="H92" i="3"/>
  <c r="F92" i="3"/>
  <c r="D92" i="3"/>
  <c r="J91" i="3"/>
  <c r="H91" i="3"/>
  <c r="F91" i="3"/>
  <c r="D91" i="3"/>
  <c r="J90" i="3"/>
  <c r="H90" i="3"/>
  <c r="F90" i="3"/>
  <c r="D90" i="3"/>
  <c r="J89" i="3"/>
  <c r="H89" i="3"/>
  <c r="F89" i="3"/>
  <c r="D89" i="3"/>
  <c r="J88" i="3"/>
  <c r="H88" i="3"/>
  <c r="F88" i="3"/>
  <c r="D88" i="3"/>
  <c r="J87" i="3"/>
  <c r="H87" i="3"/>
  <c r="F87" i="3"/>
  <c r="D87" i="3"/>
  <c r="J78" i="3"/>
  <c r="H78" i="3"/>
  <c r="F78" i="3"/>
  <c r="D78" i="3"/>
  <c r="J79" i="3"/>
  <c r="J80" i="3"/>
  <c r="J81" i="3"/>
  <c r="J82" i="3"/>
  <c r="J83" i="3"/>
  <c r="H79" i="3"/>
  <c r="H80" i="3"/>
  <c r="H81" i="3"/>
  <c r="H82" i="3"/>
  <c r="H83" i="3"/>
  <c r="F79" i="3"/>
  <c r="F80" i="3"/>
  <c r="F81" i="3"/>
  <c r="F82" i="3"/>
  <c r="F83" i="3"/>
  <c r="D79" i="3"/>
  <c r="D80" i="3"/>
  <c r="D81" i="3"/>
  <c r="D83" i="3"/>
  <c r="D59" i="3"/>
  <c r="E59" i="3" s="1"/>
  <c r="D58" i="3"/>
  <c r="E58" i="3" s="1"/>
  <c r="D57" i="3"/>
  <c r="E57" i="3" s="1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E48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D33" i="3"/>
  <c r="E33" i="3" s="1"/>
  <c r="D19" i="3"/>
  <c r="E19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8" i="3"/>
  <c r="E18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L99" i="3" l="1"/>
  <c r="M82" i="3"/>
  <c r="N82" i="3" s="1"/>
  <c r="M81" i="3"/>
  <c r="N81" i="3" s="1"/>
  <c r="M80" i="3"/>
  <c r="N80" i="3" s="1"/>
  <c r="L97" i="3"/>
  <c r="M83" i="3"/>
  <c r="N83" i="3" s="1"/>
  <c r="M79" i="3"/>
  <c r="N79" i="3" s="1"/>
  <c r="M91" i="3"/>
  <c r="N91" i="3" s="1"/>
  <c r="M78" i="3"/>
  <c r="N78" i="3" s="1"/>
  <c r="M90" i="3"/>
  <c r="N90" i="3" s="1"/>
  <c r="M89" i="3"/>
  <c r="N89" i="3" s="1"/>
  <c r="M92" i="3"/>
  <c r="N92" i="3" s="1"/>
  <c r="M88" i="3"/>
  <c r="N88" i="3" s="1"/>
  <c r="M100" i="3"/>
  <c r="N100" i="3" s="1"/>
  <c r="L101" i="3"/>
  <c r="M87" i="3"/>
  <c r="N87" i="3" s="1"/>
  <c r="M98" i="3"/>
  <c r="N98" i="3" s="1"/>
  <c r="M96" i="3"/>
  <c r="N96" i="3" s="1"/>
  <c r="L96" i="3"/>
</calcChain>
</file>

<file path=xl/sharedStrings.xml><?xml version="1.0" encoding="utf-8"?>
<sst xmlns="http://schemas.openxmlformats.org/spreadsheetml/2006/main" count="167" uniqueCount="71">
  <si>
    <t xml:space="preserve">frecuencia </t>
  </si>
  <si>
    <t>frecuencia Hz</t>
  </si>
  <si>
    <t>voltaje V</t>
  </si>
  <si>
    <t>Sin carga DC</t>
  </si>
  <si>
    <t>voltaje A-B</t>
  </si>
  <si>
    <t>voltaje A-C</t>
  </si>
  <si>
    <t>voltaje C-B</t>
  </si>
  <si>
    <t>voltaje A-N</t>
  </si>
  <si>
    <t>voltaje B-N</t>
  </si>
  <si>
    <t>voltaje C-N</t>
  </si>
  <si>
    <t>Voltaje AC</t>
  </si>
  <si>
    <t>carga DC</t>
  </si>
  <si>
    <r>
      <t xml:space="preserve">Resistencia </t>
    </r>
    <r>
      <rPr>
        <sz val="11"/>
        <color theme="1"/>
        <rFont val="Calibri"/>
        <family val="2"/>
      </rPr>
      <t>Ω</t>
    </r>
  </si>
  <si>
    <t>Corriente A</t>
  </si>
  <si>
    <t>Corriente A-B</t>
  </si>
  <si>
    <t>Corriente A-C</t>
  </si>
  <si>
    <t>Corriente C-B</t>
  </si>
  <si>
    <t>Corriente A-N</t>
  </si>
  <si>
    <t>Corriente B-N</t>
  </si>
  <si>
    <t>RPM</t>
  </si>
  <si>
    <t>Velocidad viento m/s</t>
  </si>
  <si>
    <t>Corriente (A)</t>
  </si>
  <si>
    <t>Potencia(W)</t>
  </si>
  <si>
    <t>Potencia W</t>
  </si>
  <si>
    <t>Corriente real A</t>
  </si>
  <si>
    <t>resitencia teorica</t>
  </si>
  <si>
    <t>Carga AC</t>
  </si>
  <si>
    <t>Potencia real</t>
  </si>
  <si>
    <t>Resistencia teorica</t>
  </si>
  <si>
    <t>Voltaje real</t>
  </si>
  <si>
    <t>Resistencia real</t>
  </si>
  <si>
    <t>PRIMERA MEDICIÓN</t>
  </si>
  <si>
    <r>
      <t>Resistencia (</t>
    </r>
    <r>
      <rPr>
        <sz val="11"/>
        <color theme="1"/>
        <rFont val="Calibri"/>
        <family val="2"/>
      </rPr>
      <t>Ω)=</t>
    </r>
  </si>
  <si>
    <t>Aumento de temperatura (C)=</t>
  </si>
  <si>
    <t>Temperatura inicial (C)=</t>
  </si>
  <si>
    <t>Temperatura final(C)=</t>
  </si>
  <si>
    <t>Tiempo transcurrido (s)=</t>
  </si>
  <si>
    <t>Hora inicio (s)=</t>
  </si>
  <si>
    <t>Hora final (s)=</t>
  </si>
  <si>
    <t>Potencia activa (W)</t>
  </si>
  <si>
    <t>Rotación (rpm)</t>
  </si>
  <si>
    <t>Torque (Nm)</t>
  </si>
  <si>
    <t>Voltaje DC (V)</t>
  </si>
  <si>
    <t>Corriente (I)</t>
  </si>
  <si>
    <t>V*I</t>
  </si>
  <si>
    <t>I²R</t>
  </si>
  <si>
    <t>V²/R</t>
  </si>
  <si>
    <t>SEGUNDA MEDICIÓN</t>
  </si>
  <si>
    <t>TERCERA MEDICIÓN</t>
  </si>
  <si>
    <t>V*I (W)</t>
  </si>
  <si>
    <t>10 Ω</t>
  </si>
  <si>
    <t>7,5 Ω</t>
  </si>
  <si>
    <t>5 Ω</t>
  </si>
  <si>
    <t>Inicio medición</t>
  </si>
  <si>
    <t>Resistencia 7,5 Ω. 500 rpm</t>
  </si>
  <si>
    <t>Vout</t>
  </si>
  <si>
    <t xml:space="preserve">vin </t>
  </si>
  <si>
    <t>R1</t>
  </si>
  <si>
    <t>R2</t>
  </si>
  <si>
    <t>Divisor de voltaje</t>
  </si>
  <si>
    <t>https://electronilab.co/tienda/sensor-corriente-efecto-hall-50a-cjmcu-758-acs758lcb-050b-pff-t/?srsltid=AfmBOopqT0HUKMdLNEhXYB3BF8xofBTsud8VyPX8fc_09gG5L7nCAZPT</t>
  </si>
  <si>
    <t>https://www.digikey.es/es/resources/conversion-calculators/conversion-calculator-voltage-divider?srsltid=AfmBOoptaeGMyt6o0N5zpJF_UR2g43y7OSPFjZoovtGQBBSZb-lTWCqh</t>
  </si>
  <si>
    <t>https://www.zamux.co/resistencias-5-w-de-01%CF%89-a-10-k%CF%89?variant_id=81912832</t>
  </si>
  <si>
    <t xml:space="preserve">Sensor de corriente </t>
  </si>
  <si>
    <t xml:space="preserve">Sensor de potencia </t>
  </si>
  <si>
    <t>https://www.sigmaelectronica.net/producto/tarjeta-ina226/</t>
  </si>
  <si>
    <t xml:space="preserve">Procesador </t>
  </si>
  <si>
    <t>https://electronilab.co/tienda/esp32-s2-wrover-modulo-wifi-4-mb-flash/?srsltid=AfmBOormat9DtCZzNXtHfJ1nYH3W-_gPiCIYKq8x1VeFTaUknFzTa7jJ</t>
  </si>
  <si>
    <t xml:space="preserve">Sensor de temperatura </t>
  </si>
  <si>
    <t xml:space="preserve">Fusibles </t>
  </si>
  <si>
    <t>https://www.zamux.co/sensor-de-temperatura-termocupla-tipo-k-con-modulo-interfaz-spi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</si>
</sst>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2" fillId="2" borderId="0" xfId="0" applyFont="1" applyFill="1"/>
    <xf numFmtId="21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0" fillId="0" borderId="1" xfId="0" applyNumberFormat="1" applyBorder="1"/>
    <xf numFmtId="2" fontId="0" fillId="3" borderId="1" xfId="0" applyNumberFormat="1" applyFill="1" applyBorder="1"/>
    <xf numFmtId="0" fontId="3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voltaje vs Frecuencia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 carga'!$B$2</c:f>
              <c:strCache>
                <c:ptCount val="1"/>
                <c:pt idx="0">
                  <c:v>voltaje 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'Sin carga'!$A$3:$A$14</c:f>
              <c:numCache>
                <c:formatCode>General</c:formatCode>
                <c:ptCount val="12"/>
                <c:pt idx="0">
                  <c:v>5.03</c:v>
                </c:pt>
                <c:pt idx="1">
                  <c:v>10.02</c:v>
                </c:pt>
                <c:pt idx="2">
                  <c:v>15</c:v>
                </c:pt>
                <c:pt idx="3">
                  <c:v>20.04</c:v>
                </c:pt>
                <c:pt idx="4">
                  <c:v>25.02</c:v>
                </c:pt>
                <c:pt idx="5">
                  <c:v>30.06</c:v>
                </c:pt>
                <c:pt idx="6">
                  <c:v>34.97</c:v>
                </c:pt>
                <c:pt idx="7">
                  <c:v>40.020000000000003</c:v>
                </c:pt>
                <c:pt idx="8">
                  <c:v>45</c:v>
                </c:pt>
                <c:pt idx="9">
                  <c:v>50.03</c:v>
                </c:pt>
                <c:pt idx="10">
                  <c:v>55.02</c:v>
                </c:pt>
                <c:pt idx="11">
                  <c:v>60</c:v>
                </c:pt>
              </c:numCache>
            </c:numRef>
          </c:xVal>
          <c:yVal>
            <c:numRef>
              <c:f>'Sin carga'!$B$3:$B$14</c:f>
              <c:numCache>
                <c:formatCode>General</c:formatCode>
                <c:ptCount val="12"/>
                <c:pt idx="0">
                  <c:v>16</c:v>
                </c:pt>
                <c:pt idx="1">
                  <c:v>29.8</c:v>
                </c:pt>
                <c:pt idx="2">
                  <c:v>43.69</c:v>
                </c:pt>
                <c:pt idx="3">
                  <c:v>57.7</c:v>
                </c:pt>
                <c:pt idx="4">
                  <c:v>71.7</c:v>
                </c:pt>
                <c:pt idx="5">
                  <c:v>86.09</c:v>
                </c:pt>
                <c:pt idx="6">
                  <c:v>100.09</c:v>
                </c:pt>
                <c:pt idx="7">
                  <c:v>114.59</c:v>
                </c:pt>
                <c:pt idx="8">
                  <c:v>128.69999999999999</c:v>
                </c:pt>
                <c:pt idx="9">
                  <c:v>143.09</c:v>
                </c:pt>
                <c:pt idx="10">
                  <c:v>157.4</c:v>
                </c:pt>
                <c:pt idx="11">
                  <c:v>171.49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6-41D1-BEBE-7CB2FEE28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33536"/>
        <c:axId val="125731136"/>
      </c:scatterChart>
      <c:valAx>
        <c:axId val="1257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731136"/>
        <c:crosses val="autoZero"/>
        <c:crossBetween val="midCat"/>
      </c:valAx>
      <c:valAx>
        <c:axId val="12573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7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voltaje vs Frecuencia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 carga '!$B$2</c:f>
              <c:strCache>
                <c:ptCount val="1"/>
                <c:pt idx="0">
                  <c:v>voltaje 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'Con carga '!$A$3:$A$14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'Con carga '!$B$3:$B$14</c:f>
              <c:numCache>
                <c:formatCode>General</c:formatCode>
                <c:ptCount val="12"/>
                <c:pt idx="0">
                  <c:v>7.8</c:v>
                </c:pt>
                <c:pt idx="1">
                  <c:v>16.5</c:v>
                </c:pt>
                <c:pt idx="2">
                  <c:v>24.8</c:v>
                </c:pt>
                <c:pt idx="3">
                  <c:v>32.200000000000003</c:v>
                </c:pt>
                <c:pt idx="4">
                  <c:v>40</c:v>
                </c:pt>
                <c:pt idx="5">
                  <c:v>47.7</c:v>
                </c:pt>
                <c:pt idx="6">
                  <c:v>54</c:v>
                </c:pt>
                <c:pt idx="7">
                  <c:v>60.7</c:v>
                </c:pt>
                <c:pt idx="8">
                  <c:v>65.099999999999994</c:v>
                </c:pt>
                <c:pt idx="9">
                  <c:v>70.599999999999994</c:v>
                </c:pt>
                <c:pt idx="10">
                  <c:v>73.3</c:v>
                </c:pt>
                <c:pt idx="11">
                  <c:v>76.7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56-463F-9C8D-C1B688241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33536"/>
        <c:axId val="125731136"/>
      </c:scatterChart>
      <c:valAx>
        <c:axId val="1257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731136"/>
        <c:crosses val="autoZero"/>
        <c:crossBetween val="midCat"/>
      </c:valAx>
      <c:valAx>
        <c:axId val="12573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7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voltaje vs Frecuencia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 carga '!$B$2</c:f>
              <c:strCache>
                <c:ptCount val="1"/>
                <c:pt idx="0">
                  <c:v>voltaje 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'Con carga '!$A$18:$A$29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'Con carga '!$B$18:$B$29</c:f>
              <c:numCache>
                <c:formatCode>General</c:formatCode>
                <c:ptCount val="12"/>
                <c:pt idx="0">
                  <c:v>10.5</c:v>
                </c:pt>
                <c:pt idx="1">
                  <c:v>22.1</c:v>
                </c:pt>
                <c:pt idx="2">
                  <c:v>33.4</c:v>
                </c:pt>
                <c:pt idx="3">
                  <c:v>44.5</c:v>
                </c:pt>
                <c:pt idx="4">
                  <c:v>55.3</c:v>
                </c:pt>
                <c:pt idx="5">
                  <c:v>65.900000000000006</c:v>
                </c:pt>
                <c:pt idx="6">
                  <c:v>76.3</c:v>
                </c:pt>
                <c:pt idx="7">
                  <c:v>86.3</c:v>
                </c:pt>
                <c:pt idx="8">
                  <c:v>96.3</c:v>
                </c:pt>
                <c:pt idx="9">
                  <c:v>106</c:v>
                </c:pt>
                <c:pt idx="10">
                  <c:v>115.8</c:v>
                </c:pt>
                <c:pt idx="11">
                  <c:v>124.8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B8-4ED4-AD79-30A9058AF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33536"/>
        <c:axId val="125731136"/>
      </c:scatterChart>
      <c:valAx>
        <c:axId val="1257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731136"/>
        <c:crosses val="autoZero"/>
        <c:crossBetween val="midCat"/>
      </c:valAx>
      <c:valAx>
        <c:axId val="12573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7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 carga '!$E$62</c:f>
              <c:strCache>
                <c:ptCount val="1"/>
                <c:pt idx="0">
                  <c:v>Potencia 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 carga '!$A$63:$A$74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'Con carga '!$E$63:$E$74</c:f>
              <c:numCache>
                <c:formatCode>General</c:formatCode>
                <c:ptCount val="12"/>
                <c:pt idx="0">
                  <c:v>0.83750000000000002</c:v>
                </c:pt>
                <c:pt idx="1">
                  <c:v>2.8692500000000001</c:v>
                </c:pt>
                <c:pt idx="2">
                  <c:v>6.6219999999999999</c:v>
                </c:pt>
                <c:pt idx="3">
                  <c:v>11.863800000000001</c:v>
                </c:pt>
                <c:pt idx="4">
                  <c:v>18.5762</c:v>
                </c:pt>
                <c:pt idx="5">
                  <c:v>26.787199999999995</c:v>
                </c:pt>
                <c:pt idx="6">
                  <c:v>36.366999999999997</c:v>
                </c:pt>
                <c:pt idx="7">
                  <c:v>47.361600000000003</c:v>
                </c:pt>
                <c:pt idx="8">
                  <c:v>59.753599999999999</c:v>
                </c:pt>
                <c:pt idx="9">
                  <c:v>73.331999999999994</c:v>
                </c:pt>
                <c:pt idx="10">
                  <c:v>88.245899999999992</c:v>
                </c:pt>
                <c:pt idx="11">
                  <c:v>104.03059999999999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C-468D-BFC8-1970206A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219311"/>
        <c:axId val="1397222671"/>
      </c:scatterChart>
      <c:valAx>
        <c:axId val="139721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222671"/>
        <c:crosses val="autoZero"/>
        <c:crossBetween val="midCat"/>
      </c:valAx>
      <c:valAx>
        <c:axId val="139722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21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691683070866139E-2"/>
          <c:y val="6.2096373571783409E-2"/>
          <c:w val="0.92559342191601046"/>
          <c:h val="0.89219248115595085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Compilado!$B$1:$B$2</c:f>
              <c:strCache>
                <c:ptCount val="2"/>
                <c:pt idx="0">
                  <c:v>V*I (W)</c:v>
                </c:pt>
                <c:pt idx="1">
                  <c:v>10 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Compilado!$A$3:$A$15</c:f>
              <c:numCache>
                <c:formatCode>General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</c:numCache>
            </c:numRef>
          </c:xVal>
          <c:yVal>
            <c:numRef>
              <c:f>Compilado!$B$3:$B$15</c:f>
              <c:numCache>
                <c:formatCode>0.00</c:formatCode>
                <c:ptCount val="13"/>
                <c:pt idx="0">
                  <c:v>0</c:v>
                </c:pt>
                <c:pt idx="1">
                  <c:v>2.8499999999999998E-2</c:v>
                </c:pt>
                <c:pt idx="2">
                  <c:v>0.34199999999999997</c:v>
                </c:pt>
                <c:pt idx="3">
                  <c:v>0.99820000000000009</c:v>
                </c:pt>
                <c:pt idx="4">
                  <c:v>2.0284</c:v>
                </c:pt>
                <c:pt idx="5">
                  <c:v>3.3858000000000001</c:v>
                </c:pt>
                <c:pt idx="6">
                  <c:v>5.0749999999999993</c:v>
                </c:pt>
                <c:pt idx="7">
                  <c:v>6.8640000000000008</c:v>
                </c:pt>
                <c:pt idx="8">
                  <c:v>9.4847999999999999</c:v>
                </c:pt>
                <c:pt idx="9">
                  <c:v>12.0852</c:v>
                </c:pt>
                <c:pt idx="10">
                  <c:v>14.939999999999998</c:v>
                </c:pt>
                <c:pt idx="11">
                  <c:v>18.234300000000001</c:v>
                </c:pt>
                <c:pt idx="12">
                  <c:v>21.692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E-459C-A5C5-29A61726038C}"/>
            </c:ext>
          </c:extLst>
        </c:ser>
        <c:ser>
          <c:idx val="1"/>
          <c:order val="1"/>
          <c:tx>
            <c:strRef>
              <c:f>Compilado!$C$1:$C$2</c:f>
              <c:strCache>
                <c:ptCount val="2"/>
                <c:pt idx="0">
                  <c:v>V*I (W)</c:v>
                </c:pt>
                <c:pt idx="1">
                  <c:v>7,5 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Compilado!$A$3:$A$15</c:f>
              <c:numCache>
                <c:formatCode>General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</c:numCache>
            </c:numRef>
          </c:xVal>
          <c:yVal>
            <c:numRef>
              <c:f>Compilado!$C$3:$C$15</c:f>
              <c:numCache>
                <c:formatCode>0.00</c:formatCode>
                <c:ptCount val="13"/>
                <c:pt idx="0">
                  <c:v>0</c:v>
                </c:pt>
                <c:pt idx="1">
                  <c:v>0.03</c:v>
                </c:pt>
                <c:pt idx="2">
                  <c:v>0.34439999999999998</c:v>
                </c:pt>
                <c:pt idx="3">
                  <c:v>1.0151999999999999</c:v>
                </c:pt>
                <c:pt idx="4">
                  <c:v>2.08</c:v>
                </c:pt>
                <c:pt idx="5">
                  <c:v>3.4505000000000003</c:v>
                </c:pt>
                <c:pt idx="6">
                  <c:v>5.1659999999999995</c:v>
                </c:pt>
                <c:pt idx="7">
                  <c:v>7.2168000000000001</c:v>
                </c:pt>
                <c:pt idx="8">
                  <c:v>9.5127000000000006</c:v>
                </c:pt>
                <c:pt idx="9">
                  <c:v>12.146400000000002</c:v>
                </c:pt>
                <c:pt idx="10">
                  <c:v>15.022</c:v>
                </c:pt>
                <c:pt idx="11">
                  <c:v>18.414000000000001</c:v>
                </c:pt>
                <c:pt idx="12">
                  <c:v>21.936199999999999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E-459C-A5C5-29A61726038C}"/>
            </c:ext>
          </c:extLst>
        </c:ser>
        <c:ser>
          <c:idx val="2"/>
          <c:order val="2"/>
          <c:tx>
            <c:strRef>
              <c:f>Compilado!$D$1:$D$2</c:f>
              <c:strCache>
                <c:ptCount val="2"/>
                <c:pt idx="0">
                  <c:v>V*I (W)</c:v>
                </c:pt>
                <c:pt idx="1">
                  <c:v>5 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Compilado!$A$3:$A$15</c:f>
              <c:numCache>
                <c:formatCode>General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</c:numCache>
            </c:numRef>
          </c:xVal>
          <c:yVal>
            <c:numRef>
              <c:f>Compilado!$D$3:$D$15</c:f>
              <c:numCache>
                <c:formatCode>0.00</c:formatCode>
                <c:ptCount val="13"/>
                <c:pt idx="0">
                  <c:v>0</c:v>
                </c:pt>
                <c:pt idx="1">
                  <c:v>3.2000000000000001E-2</c:v>
                </c:pt>
                <c:pt idx="2">
                  <c:v>0.34840000000000004</c:v>
                </c:pt>
                <c:pt idx="3">
                  <c:v>1.0305</c:v>
                </c:pt>
                <c:pt idx="4">
                  <c:v>2.0672000000000001</c:v>
                </c:pt>
                <c:pt idx="5">
                  <c:v>3.4610999999999996</c:v>
                </c:pt>
                <c:pt idx="6">
                  <c:v>5.2122000000000002</c:v>
                </c:pt>
                <c:pt idx="7">
                  <c:v>7.2720999999999991</c:v>
                </c:pt>
                <c:pt idx="8">
                  <c:v>9.3708000000000009</c:v>
                </c:pt>
                <c:pt idx="9">
                  <c:v>12.09</c:v>
                </c:pt>
                <c:pt idx="10">
                  <c:v>14.878</c:v>
                </c:pt>
                <c:pt idx="11">
                  <c:v>18.087700000000002</c:v>
                </c:pt>
                <c:pt idx="12">
                  <c:v>21.527999999999999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E-459C-A5C5-29A61726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607311"/>
        <c:axId val="1693610639"/>
      </c:scatterChart>
      <c:valAx>
        <c:axId val="1693607311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Velocidad (rpm)</a:t>
                </a:r>
              </a:p>
            </c:rich>
          </c:tx>
          <c:layout>
            <c:manualLayout>
              <c:xMode val="edge"/>
              <c:yMode val="edge"/>
              <c:x val="0.87694082185039368"/>
              <c:y val="0.90510422411803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3610639"/>
        <c:crosses val="autoZero"/>
        <c:crossBetween val="midCat"/>
      </c:valAx>
      <c:valAx>
        <c:axId val="16936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Potencia (W)</a:t>
                </a:r>
              </a:p>
            </c:rich>
          </c:tx>
          <c:layout>
            <c:manualLayout>
              <c:xMode val="edge"/>
              <c:yMode val="edge"/>
              <c:x val="7.6530921916010505E-2"/>
              <c:y val="0.79315277468110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360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004552165354329"/>
          <c:y val="0.26822484559027737"/>
          <c:w val="0.10255864501312335"/>
          <c:h val="0.12574603658894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733425</xdr:colOff>
      <xdr:row>1</xdr:row>
      <xdr:rowOff>119062</xdr:rowOff>
    </xdr:from>
    <xdr:to>
      <xdr:col>13</xdr:col>
      <xdr:colOff>733425</xdr:colOff>
      <xdr:row>16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F11932-7E70-850D-AA73-283047FBA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0</xdr:row>
      <xdr:rowOff>0</xdr:rowOff>
    </xdr:from>
    <xdr:to>
      <xdr:col>16</xdr:col>
      <xdr:colOff>333375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CA4A35-F330-4E76-8433-8F585F414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15</xdr:row>
      <xdr:rowOff>0</xdr:rowOff>
    </xdr:from>
    <xdr:to>
      <xdr:col>12</xdr:col>
      <xdr:colOff>38100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834C9-34D9-45AF-AFBB-39CE40E1C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247650</xdr:colOff>
      <xdr:row>59</xdr:row>
      <xdr:rowOff>185737</xdr:rowOff>
    </xdr:from>
    <xdr:to>
      <xdr:col>14</xdr:col>
      <xdr:colOff>247650</xdr:colOff>
      <xdr:row>74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E70F0B-3714-C83C-2C5F-2A6DD2D40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0</xdr:row>
      <xdr:rowOff>91440</xdr:rowOff>
    </xdr:from>
    <xdr:to>
      <xdr:col>16</xdr:col>
      <xdr:colOff>464820</xdr:colOff>
      <xdr:row>28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969552-DB78-4540-8B33-6D04771CB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68581</xdr:rowOff>
    </xdr:from>
    <xdr:to>
      <xdr:col>7</xdr:col>
      <xdr:colOff>314478</xdr:colOff>
      <xdr:row>24</xdr:row>
      <xdr:rowOff>144780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8A583F-9355-41C5-A8CA-9DECBED99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3856"/>
          <a:ext cx="7439178" cy="4457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95250</xdr:rowOff>
    </xdr:from>
    <xdr:to>
      <xdr:col>7</xdr:col>
      <xdr:colOff>308648</xdr:colOff>
      <xdr:row>51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0272AB-2EB4-4B27-835A-F0E4FE1B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"/>
          <a:ext cx="7433348" cy="449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ran\AppData\Local\Microsoft\Olk\Attachments\ooa-b28ca244-f924-4ca4-8343-d66a3827ecd9\ea02f7fdc6e2918146dc29ec0443c94ddb09e810e040778db066bb54ee641254\caracterizacionTorque_generador_300W.xlsx" TargetMode="External"/><Relationship Id="rId1" Type="http://schemas.openxmlformats.org/officeDocument/2006/relationships/externalLinkPath" Target="file:///C:\Users\tiran\AppData\Local\Microsoft\Olk\Attachments\ooa-b28ca244-f924-4ca4-8343-d66a3827ecd9\ea02f7fdc6e2918146dc29ec0443c94ddb09e810e040778db066bb54ee641254\caracterizacionTorque_generador_300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ciones"/>
      <sheetName val="Compilado"/>
      <sheetName val="EjemplosCapturaDatos"/>
    </sheetNames>
    <sheetDataSet>
      <sheetData sheetId="0">
        <row r="11">
          <cell r="E11">
            <v>0</v>
          </cell>
        </row>
        <row r="12">
          <cell r="E12">
            <v>2.8499999999999998E-2</v>
          </cell>
        </row>
        <row r="13">
          <cell r="E13">
            <v>0.34199999999999997</v>
          </cell>
        </row>
        <row r="14">
          <cell r="E14">
            <v>0.99820000000000009</v>
          </cell>
        </row>
        <row r="15">
          <cell r="E15">
            <v>2.0284</v>
          </cell>
        </row>
        <row r="16">
          <cell r="E16">
            <v>3.3858000000000001</v>
          </cell>
        </row>
        <row r="17">
          <cell r="E17">
            <v>5.0749999999999993</v>
          </cell>
        </row>
        <row r="18">
          <cell r="E18">
            <v>6.8640000000000008</v>
          </cell>
        </row>
        <row r="19">
          <cell r="E19">
            <v>9.4847999999999999</v>
          </cell>
        </row>
        <row r="20">
          <cell r="E20">
            <v>12.0852</v>
          </cell>
        </row>
        <row r="21">
          <cell r="E21">
            <v>14.939999999999998</v>
          </cell>
        </row>
        <row r="22">
          <cell r="E22">
            <v>18.234300000000001</v>
          </cell>
        </row>
        <row r="23">
          <cell r="E23">
            <v>21.692</v>
          </cell>
        </row>
        <row r="35">
          <cell r="E35">
            <v>0</v>
          </cell>
        </row>
        <row r="36">
          <cell r="E36">
            <v>0.03</v>
          </cell>
        </row>
        <row r="37">
          <cell r="E37">
            <v>0.34439999999999998</v>
          </cell>
        </row>
        <row r="38">
          <cell r="E38">
            <v>1.0151999999999999</v>
          </cell>
        </row>
        <row r="39">
          <cell r="E39">
            <v>2.08</v>
          </cell>
        </row>
        <row r="40">
          <cell r="E40">
            <v>3.4505000000000003</v>
          </cell>
        </row>
        <row r="41">
          <cell r="E41">
            <v>5.1659999999999995</v>
          </cell>
        </row>
        <row r="42">
          <cell r="E42">
            <v>7.2168000000000001</v>
          </cell>
        </row>
        <row r="43">
          <cell r="E43">
            <v>9.5127000000000006</v>
          </cell>
        </row>
        <row r="44">
          <cell r="E44">
            <v>12.146400000000002</v>
          </cell>
        </row>
        <row r="45">
          <cell r="E45">
            <v>15.022</v>
          </cell>
        </row>
        <row r="46">
          <cell r="E46">
            <v>18.414000000000001</v>
          </cell>
        </row>
        <row r="47">
          <cell r="E47">
            <v>21.936199999999999</v>
          </cell>
        </row>
        <row r="59">
          <cell r="E59">
            <v>0</v>
          </cell>
        </row>
        <row r="60">
          <cell r="E60">
            <v>3.2000000000000001E-2</v>
          </cell>
        </row>
        <row r="61">
          <cell r="E61">
            <v>0.34840000000000004</v>
          </cell>
        </row>
        <row r="62">
          <cell r="E62">
            <v>1.0305</v>
          </cell>
        </row>
        <row r="63">
          <cell r="E63">
            <v>2.0672000000000001</v>
          </cell>
        </row>
        <row r="64">
          <cell r="E64">
            <v>3.4610999999999996</v>
          </cell>
        </row>
        <row r="65">
          <cell r="E65">
            <v>5.2122000000000002</v>
          </cell>
        </row>
        <row r="66">
          <cell r="E66">
            <v>7.2720999999999991</v>
          </cell>
        </row>
        <row r="67">
          <cell r="E67">
            <v>9.3708000000000009</v>
          </cell>
        </row>
        <row r="68">
          <cell r="E68">
            <v>12.09</v>
          </cell>
        </row>
        <row r="69">
          <cell r="E69">
            <v>14.878</v>
          </cell>
        </row>
        <row r="70">
          <cell r="E70">
            <v>18.087700000000002</v>
          </cell>
        </row>
        <row r="71">
          <cell r="E71">
            <v>21.527999999999999</v>
          </cell>
        </row>
      </sheetData>
      <sheetData sheetId="1">
        <row r="1">
          <cell r="B1" t="str">
            <v>V*I (W)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C0E2-77BA-4985-8E1A-519B9B061190}">
  <dimension ref="A1:G24"/>
  <sheetViews>
    <sheetView tabSelected="1" workbookViewId="0">
      <selection activeCell="G7" sqref="G7"/>
    </sheetView>
  </sheetViews>
  <sheetFormatPr baseColWidth="10" defaultRowHeight="15" x14ac:dyDescent="0.25"/>
  <sheetData>
    <row r="1" spans="1:6" x14ac:dyDescent="0.25">
      <c r="A1" s="17" t="s">
        <v>3</v>
      </c>
      <c r="B1" s="18"/>
    </row>
    <row r="2" spans="1:6" x14ac:dyDescent="0.25">
      <c r="A2" s="1" t="s">
        <v>1</v>
      </c>
      <c r="B2" s="1" t="s">
        <v>2</v>
      </c>
      <c r="C2" s="1" t="s">
        <v>21</v>
      </c>
      <c r="D2" s="1" t="s">
        <v>22</v>
      </c>
      <c r="E2" s="1" t="s">
        <v>19</v>
      </c>
      <c r="F2" s="1" t="s">
        <v>20</v>
      </c>
    </row>
    <row r="3" spans="1:6" x14ac:dyDescent="0.25">
      <c r="A3" s="1">
        <v>5.03</v>
      </c>
      <c r="B3" s="1">
        <v>16</v>
      </c>
      <c r="C3" s="1">
        <f>B3</f>
        <v>16</v>
      </c>
      <c r="D3" s="4">
        <f>C3*B3</f>
        <v>256</v>
      </c>
      <c r="E3" s="1">
        <v>300</v>
      </c>
      <c r="F3" s="1"/>
    </row>
    <row r="4" spans="1:6" x14ac:dyDescent="0.25">
      <c r="A4" s="1">
        <v>10.02</v>
      </c>
      <c r="B4" s="1">
        <v>29.8</v>
      </c>
      <c r="C4" s="1">
        <f t="shared" ref="C4:C14" si="0">B4</f>
        <v>29.8</v>
      </c>
      <c r="D4" s="4">
        <f>C4*B4</f>
        <v>888.04000000000008</v>
      </c>
      <c r="E4" s="1">
        <v>600</v>
      </c>
      <c r="F4" s="1"/>
    </row>
    <row r="5" spans="1:6" x14ac:dyDescent="0.25">
      <c r="A5" s="1">
        <v>15</v>
      </c>
      <c r="B5" s="1">
        <v>43.69</v>
      </c>
      <c r="C5" s="1">
        <f t="shared" si="0"/>
        <v>43.69</v>
      </c>
      <c r="D5" s="4">
        <f t="shared" ref="D5:D14" si="1">C5*B5</f>
        <v>1908.8160999999998</v>
      </c>
      <c r="E5" s="1">
        <v>900</v>
      </c>
      <c r="F5" s="1"/>
    </row>
    <row r="6" spans="1:6" x14ac:dyDescent="0.25">
      <c r="A6" s="1">
        <v>20.04</v>
      </c>
      <c r="B6" s="1">
        <v>57.7</v>
      </c>
      <c r="C6" s="1">
        <f t="shared" si="0"/>
        <v>57.7</v>
      </c>
      <c r="D6" s="4">
        <f t="shared" si="1"/>
        <v>3329.2900000000004</v>
      </c>
      <c r="E6" s="1">
        <v>1200</v>
      </c>
      <c r="F6" s="1"/>
    </row>
    <row r="7" spans="1:6" x14ac:dyDescent="0.25">
      <c r="A7" s="1">
        <v>25.02</v>
      </c>
      <c r="B7" s="1">
        <v>71.7</v>
      </c>
      <c r="C7" s="1">
        <f t="shared" si="0"/>
        <v>71.7</v>
      </c>
      <c r="D7" s="4">
        <f t="shared" si="1"/>
        <v>5140.8900000000003</v>
      </c>
      <c r="E7" s="1">
        <v>1500</v>
      </c>
      <c r="F7" s="1"/>
    </row>
    <row r="8" spans="1:6" x14ac:dyDescent="0.25">
      <c r="A8" s="1">
        <v>30.06</v>
      </c>
      <c r="B8" s="1">
        <v>86.09</v>
      </c>
      <c r="C8" s="1">
        <f t="shared" si="0"/>
        <v>86.09</v>
      </c>
      <c r="D8" s="4">
        <f t="shared" si="1"/>
        <v>7411.4881000000005</v>
      </c>
      <c r="E8" s="1">
        <v>1800</v>
      </c>
      <c r="F8" s="1"/>
    </row>
    <row r="9" spans="1:6" x14ac:dyDescent="0.25">
      <c r="A9" s="1">
        <v>34.97</v>
      </c>
      <c r="B9" s="1">
        <v>100.09</v>
      </c>
      <c r="C9" s="1">
        <f t="shared" si="0"/>
        <v>100.09</v>
      </c>
      <c r="D9" s="4">
        <f t="shared" si="1"/>
        <v>10018.008100000001</v>
      </c>
      <c r="E9" s="1">
        <v>2100</v>
      </c>
      <c r="F9" s="1"/>
    </row>
    <row r="10" spans="1:6" x14ac:dyDescent="0.25">
      <c r="A10" s="1">
        <v>40.020000000000003</v>
      </c>
      <c r="B10" s="1">
        <v>114.59</v>
      </c>
      <c r="C10" s="1">
        <f t="shared" si="0"/>
        <v>114.59</v>
      </c>
      <c r="D10" s="4">
        <f t="shared" si="1"/>
        <v>13130.868100000002</v>
      </c>
      <c r="E10" s="1">
        <v>2400</v>
      </c>
      <c r="F10" s="1"/>
    </row>
    <row r="11" spans="1:6" x14ac:dyDescent="0.25">
      <c r="A11" s="1">
        <v>45</v>
      </c>
      <c r="B11" s="1">
        <v>128.69999999999999</v>
      </c>
      <c r="C11" s="1">
        <f t="shared" si="0"/>
        <v>128.69999999999999</v>
      </c>
      <c r="D11" s="4">
        <f t="shared" si="1"/>
        <v>16563.689999999999</v>
      </c>
      <c r="E11" s="1">
        <v>2700</v>
      </c>
      <c r="F11" s="1"/>
    </row>
    <row r="12" spans="1:6" x14ac:dyDescent="0.25">
      <c r="A12" s="1">
        <v>50.03</v>
      </c>
      <c r="B12" s="1">
        <v>143.09</v>
      </c>
      <c r="C12" s="1">
        <f t="shared" si="0"/>
        <v>143.09</v>
      </c>
      <c r="D12" s="4">
        <f t="shared" si="1"/>
        <v>20474.748100000001</v>
      </c>
      <c r="E12" s="1">
        <v>3000</v>
      </c>
      <c r="F12" s="1"/>
    </row>
    <row r="13" spans="1:6" x14ac:dyDescent="0.25">
      <c r="A13" s="1">
        <v>55.02</v>
      </c>
      <c r="B13" s="1">
        <v>157.4</v>
      </c>
      <c r="C13" s="1">
        <f t="shared" si="0"/>
        <v>157.4</v>
      </c>
      <c r="D13" s="4">
        <f t="shared" si="1"/>
        <v>24774.760000000002</v>
      </c>
      <c r="E13" s="1">
        <v>3300</v>
      </c>
      <c r="F13" s="1"/>
    </row>
    <row r="14" spans="1:6" x14ac:dyDescent="0.25">
      <c r="A14" s="1">
        <v>60</v>
      </c>
      <c r="B14" s="1">
        <v>171.49</v>
      </c>
      <c r="C14" s="1">
        <f t="shared" si="0"/>
        <v>171.49</v>
      </c>
      <c r="D14" s="4">
        <f t="shared" si="1"/>
        <v>29408.820100000004</v>
      </c>
      <c r="E14" s="1">
        <v>3600</v>
      </c>
      <c r="F14" s="1"/>
    </row>
    <row r="17" spans="1:7" x14ac:dyDescent="0.25">
      <c r="A17" s="16" t="s">
        <v>10</v>
      </c>
      <c r="B17" s="16"/>
      <c r="C17" s="16"/>
      <c r="D17" s="16"/>
      <c r="E17" s="16"/>
      <c r="F17" s="16"/>
      <c r="G17" s="16"/>
    </row>
    <row r="18" spans="1:7" x14ac:dyDescent="0.25">
      <c r="A18" s="1" t="s">
        <v>0</v>
      </c>
      <c r="B18" s="1" t="s">
        <v>4</v>
      </c>
      <c r="C18" s="1" t="s">
        <v>5</v>
      </c>
      <c r="D18" s="1" t="s">
        <v>6</v>
      </c>
      <c r="E18" s="1" t="s">
        <v>7</v>
      </c>
      <c r="F18" s="1" t="s">
        <v>9</v>
      </c>
      <c r="G18" s="1" t="s">
        <v>8</v>
      </c>
    </row>
    <row r="19" spans="1:7" x14ac:dyDescent="0.25">
      <c r="A19" s="1">
        <v>10</v>
      </c>
      <c r="B19" s="1">
        <v>130</v>
      </c>
      <c r="C19" s="1">
        <v>120</v>
      </c>
      <c r="D19" s="1">
        <v>130</v>
      </c>
      <c r="E19" s="1">
        <v>32</v>
      </c>
      <c r="F19" s="1">
        <v>30</v>
      </c>
      <c r="G19" s="1">
        <v>34</v>
      </c>
    </row>
    <row r="20" spans="1:7" x14ac:dyDescent="0.25">
      <c r="A20" s="1">
        <v>20</v>
      </c>
      <c r="B20" s="1">
        <v>190</v>
      </c>
      <c r="C20" s="1">
        <v>185</v>
      </c>
      <c r="D20" s="1">
        <v>185</v>
      </c>
      <c r="E20" s="1">
        <v>64</v>
      </c>
      <c r="F20" s="1">
        <v>62</v>
      </c>
      <c r="G20" s="1">
        <v>68</v>
      </c>
    </row>
    <row r="21" spans="1:7" x14ac:dyDescent="0.25">
      <c r="A21" s="1">
        <v>30</v>
      </c>
      <c r="B21" s="1">
        <v>250</v>
      </c>
      <c r="C21" s="1">
        <v>245</v>
      </c>
      <c r="D21" s="1">
        <v>248</v>
      </c>
      <c r="E21" s="1">
        <v>96</v>
      </c>
      <c r="F21" s="1">
        <v>92</v>
      </c>
      <c r="G21" s="1">
        <v>102</v>
      </c>
    </row>
    <row r="22" spans="1:7" x14ac:dyDescent="0.25">
      <c r="A22" s="1">
        <v>40</v>
      </c>
      <c r="B22" s="1">
        <v>300</v>
      </c>
      <c r="C22" s="1">
        <v>292</v>
      </c>
      <c r="D22" s="1">
        <v>292</v>
      </c>
      <c r="E22" s="1">
        <v>128</v>
      </c>
      <c r="F22" s="1">
        <v>120</v>
      </c>
      <c r="G22" s="1">
        <v>132</v>
      </c>
    </row>
    <row r="23" spans="1:7" x14ac:dyDescent="0.25">
      <c r="A23" s="1">
        <v>50</v>
      </c>
      <c r="B23" s="1">
        <v>360</v>
      </c>
      <c r="C23" s="1">
        <v>350</v>
      </c>
      <c r="D23" s="1">
        <v>350</v>
      </c>
      <c r="E23" s="1">
        <v>156</v>
      </c>
      <c r="F23" s="1">
        <v>152</v>
      </c>
      <c r="G23" s="1">
        <v>166</v>
      </c>
    </row>
    <row r="24" spans="1:7" x14ac:dyDescent="0.25">
      <c r="A24" s="1">
        <v>60</v>
      </c>
      <c r="B24" s="1">
        <v>410</v>
      </c>
      <c r="C24" s="1">
        <v>400</v>
      </c>
      <c r="D24" s="1">
        <v>410</v>
      </c>
      <c r="E24" s="1">
        <v>188</v>
      </c>
      <c r="F24" s="1">
        <v>180</v>
      </c>
      <c r="G24" s="1">
        <v>198</v>
      </c>
    </row>
  </sheetData>
  <mergeCells count="2">
    <mergeCell ref="A1:B1"/>
    <mergeCell ref="A17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260A-0CD0-48E6-9D95-C3292E8A5AFE}">
  <dimension ref="A1:N102"/>
  <sheetViews>
    <sheetView workbookViewId="0">
      <selection activeCell="F25" sqref="F25"/>
    </sheetView>
  </sheetViews>
  <sheetFormatPr baseColWidth="10" defaultRowHeight="15" x14ac:dyDescent="0.25"/>
  <cols>
    <col min="2" max="2" width="12.85546875" customWidth="1"/>
    <col min="3" max="3" width="12.42578125" customWidth="1"/>
  </cols>
  <sheetData>
    <row r="1" spans="1:10" x14ac:dyDescent="0.25">
      <c r="A1" s="16" t="s">
        <v>11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23</v>
      </c>
      <c r="F2" s="1" t="s">
        <v>24</v>
      </c>
      <c r="G2" s="1" t="s">
        <v>27</v>
      </c>
      <c r="H2" s="1" t="s">
        <v>28</v>
      </c>
      <c r="I2" s="1" t="s">
        <v>29</v>
      </c>
      <c r="J2" s="1" t="s">
        <v>30</v>
      </c>
    </row>
    <row r="3" spans="1:10" x14ac:dyDescent="0.25">
      <c r="A3" s="1">
        <v>5</v>
      </c>
      <c r="B3" s="1">
        <v>7.8</v>
      </c>
      <c r="C3" s="1">
        <v>20</v>
      </c>
      <c r="D3" s="1">
        <f>B3/C3</f>
        <v>0.39</v>
      </c>
      <c r="E3" s="1">
        <f>D3*B3</f>
        <v>3.0419999999999998</v>
      </c>
      <c r="F3" s="1">
        <v>0.46400000000000002</v>
      </c>
      <c r="G3" s="1">
        <f>F3*I3</f>
        <v>3.56352</v>
      </c>
      <c r="H3" s="1">
        <f>I3/F3</f>
        <v>16.551724137931032</v>
      </c>
      <c r="I3" s="1">
        <v>7.68</v>
      </c>
      <c r="J3" s="1">
        <v>20.3</v>
      </c>
    </row>
    <row r="4" spans="1:10" x14ac:dyDescent="0.25">
      <c r="A4" s="1">
        <v>10</v>
      </c>
      <c r="B4" s="1">
        <v>16.5</v>
      </c>
      <c r="C4" s="1">
        <v>20</v>
      </c>
      <c r="D4" s="1">
        <f t="shared" ref="D4:D14" si="0">B4/C4</f>
        <v>0.82499999999999996</v>
      </c>
      <c r="E4" s="1">
        <f t="shared" ref="E4:E14" si="1">D4*B4</f>
        <v>13.612499999999999</v>
      </c>
      <c r="F4" s="1">
        <v>0.98</v>
      </c>
      <c r="G4" s="1">
        <f t="shared" ref="G4:G14" si="2">F4*I4</f>
        <v>15.689800000000002</v>
      </c>
      <c r="H4" s="1">
        <f t="shared" ref="H4:H14" si="3">I4/F4</f>
        <v>16.336734693877553</v>
      </c>
      <c r="I4" s="1">
        <v>16.010000000000002</v>
      </c>
      <c r="J4" s="1">
        <v>19.989999999999998</v>
      </c>
    </row>
    <row r="5" spans="1:10" x14ac:dyDescent="0.25">
      <c r="A5" s="1">
        <v>15</v>
      </c>
      <c r="B5" s="1">
        <v>24.8</v>
      </c>
      <c r="C5" s="1">
        <v>20</v>
      </c>
      <c r="D5" s="1">
        <f t="shared" si="0"/>
        <v>1.24</v>
      </c>
      <c r="E5" s="1">
        <f t="shared" si="1"/>
        <v>30.751999999999999</v>
      </c>
      <c r="F5" s="1">
        <v>1.512</v>
      </c>
      <c r="G5" s="1">
        <f t="shared" si="2"/>
        <v>36.4392</v>
      </c>
      <c r="H5" s="1">
        <f t="shared" si="3"/>
        <v>15.93915343915344</v>
      </c>
      <c r="I5" s="1">
        <v>24.1</v>
      </c>
      <c r="J5" s="1">
        <v>19.399999999999999</v>
      </c>
    </row>
    <row r="6" spans="1:10" x14ac:dyDescent="0.25">
      <c r="A6" s="1">
        <v>20</v>
      </c>
      <c r="B6" s="1">
        <v>32.200000000000003</v>
      </c>
      <c r="C6" s="1">
        <v>20</v>
      </c>
      <c r="D6" s="1">
        <f t="shared" si="0"/>
        <v>1.61</v>
      </c>
      <c r="E6" s="1">
        <f t="shared" si="1"/>
        <v>51.842000000000006</v>
      </c>
      <c r="F6" s="1">
        <v>2.0049999999999999</v>
      </c>
      <c r="G6" s="1">
        <f t="shared" si="2"/>
        <v>63.598599999999998</v>
      </c>
      <c r="H6" s="1">
        <f t="shared" si="3"/>
        <v>15.820448877805486</v>
      </c>
      <c r="I6" s="1">
        <v>31.72</v>
      </c>
      <c r="J6" s="1">
        <v>18.600000000000001</v>
      </c>
    </row>
    <row r="7" spans="1:10" x14ac:dyDescent="0.25">
      <c r="A7" s="1">
        <v>25</v>
      </c>
      <c r="B7" s="1">
        <v>40</v>
      </c>
      <c r="C7" s="1">
        <v>20</v>
      </c>
      <c r="D7" s="1">
        <f t="shared" si="0"/>
        <v>2</v>
      </c>
      <c r="E7" s="1">
        <f t="shared" si="1"/>
        <v>80</v>
      </c>
      <c r="F7" s="1">
        <v>2.4900000000000002</v>
      </c>
      <c r="G7" s="1">
        <f t="shared" si="2"/>
        <v>97.558200000000014</v>
      </c>
      <c r="H7" s="1">
        <f t="shared" si="3"/>
        <v>15.734939759036143</v>
      </c>
      <c r="I7" s="1">
        <v>39.18</v>
      </c>
      <c r="J7" s="1">
        <v>17.8</v>
      </c>
    </row>
    <row r="8" spans="1:10" x14ac:dyDescent="0.25">
      <c r="A8" s="1">
        <v>30</v>
      </c>
      <c r="B8" s="1">
        <v>47.7</v>
      </c>
      <c r="C8" s="1">
        <v>20</v>
      </c>
      <c r="D8" s="1">
        <f t="shared" si="0"/>
        <v>2.3850000000000002</v>
      </c>
      <c r="E8" s="1">
        <f t="shared" si="1"/>
        <v>113.76450000000001</v>
      </c>
      <c r="F8" s="1">
        <v>3.07</v>
      </c>
      <c r="G8" s="1">
        <f t="shared" si="2"/>
        <v>142.755</v>
      </c>
      <c r="H8" s="1">
        <f t="shared" si="3"/>
        <v>15.146579804560261</v>
      </c>
      <c r="I8" s="1">
        <v>46.5</v>
      </c>
      <c r="J8" s="1">
        <v>17</v>
      </c>
    </row>
    <row r="9" spans="1:10" x14ac:dyDescent="0.25">
      <c r="A9" s="1">
        <v>35</v>
      </c>
      <c r="B9" s="1">
        <v>54</v>
      </c>
      <c r="C9" s="1">
        <v>20</v>
      </c>
      <c r="D9" s="1">
        <f t="shared" si="0"/>
        <v>2.7</v>
      </c>
      <c r="E9" s="1">
        <f t="shared" si="1"/>
        <v>145.80000000000001</v>
      </c>
      <c r="F9" s="1">
        <v>3.55</v>
      </c>
      <c r="G9" s="1">
        <f t="shared" si="2"/>
        <v>184.95499999999998</v>
      </c>
      <c r="H9" s="1">
        <f t="shared" si="3"/>
        <v>14.67605633802817</v>
      </c>
      <c r="I9" s="1">
        <v>52.1</v>
      </c>
      <c r="J9" s="1">
        <v>15.1</v>
      </c>
    </row>
    <row r="10" spans="1:10" x14ac:dyDescent="0.25">
      <c r="A10" s="1">
        <v>40</v>
      </c>
      <c r="B10" s="1">
        <v>60.7</v>
      </c>
      <c r="C10" s="1">
        <v>20</v>
      </c>
      <c r="D10" s="1">
        <f t="shared" si="0"/>
        <v>3.0350000000000001</v>
      </c>
      <c r="E10" s="1">
        <f t="shared" si="1"/>
        <v>184.22450000000001</v>
      </c>
      <c r="F10" s="1">
        <v>3.98</v>
      </c>
      <c r="G10" s="1">
        <f t="shared" si="2"/>
        <v>232.43199999999999</v>
      </c>
      <c r="H10" s="1">
        <f t="shared" si="3"/>
        <v>14.673366834170855</v>
      </c>
      <c r="I10" s="1">
        <v>58.4</v>
      </c>
      <c r="J10" s="1">
        <v>14.5</v>
      </c>
    </row>
    <row r="11" spans="1:10" x14ac:dyDescent="0.25">
      <c r="A11" s="1">
        <v>45</v>
      </c>
      <c r="B11" s="1">
        <v>65.099999999999994</v>
      </c>
      <c r="C11" s="1">
        <v>20</v>
      </c>
      <c r="D11" s="1">
        <f t="shared" si="0"/>
        <v>3.2549999999999999</v>
      </c>
      <c r="E11" s="1">
        <f t="shared" si="1"/>
        <v>211.90049999999997</v>
      </c>
      <c r="F11" s="1">
        <v>4.4000000000000004</v>
      </c>
      <c r="G11" s="1">
        <f t="shared" si="2"/>
        <v>282.48</v>
      </c>
      <c r="H11" s="1">
        <f t="shared" si="3"/>
        <v>14.59090909090909</v>
      </c>
      <c r="I11" s="1">
        <v>64.2</v>
      </c>
      <c r="J11" s="1">
        <v>7.8</v>
      </c>
    </row>
    <row r="12" spans="1:10" x14ac:dyDescent="0.25">
      <c r="A12" s="1">
        <v>50</v>
      </c>
      <c r="B12" s="1">
        <v>70.599999999999994</v>
      </c>
      <c r="C12" s="1">
        <v>20</v>
      </c>
      <c r="D12" s="1">
        <f t="shared" si="0"/>
        <v>3.53</v>
      </c>
      <c r="E12" s="1">
        <f t="shared" si="1"/>
        <v>249.21799999999996</v>
      </c>
      <c r="F12" s="1">
        <v>4.78</v>
      </c>
      <c r="G12" s="1">
        <f t="shared" si="2"/>
        <v>321.21600000000001</v>
      </c>
      <c r="H12" s="1">
        <f t="shared" si="3"/>
        <v>14.05857740585774</v>
      </c>
      <c r="I12" s="1">
        <v>67.2</v>
      </c>
      <c r="J12" s="1">
        <v>1</v>
      </c>
    </row>
    <row r="13" spans="1:10" x14ac:dyDescent="0.25">
      <c r="A13" s="1">
        <v>55</v>
      </c>
      <c r="B13" s="1">
        <v>73.3</v>
      </c>
      <c r="C13" s="1">
        <v>20</v>
      </c>
      <c r="D13" s="1">
        <f t="shared" si="0"/>
        <v>3.665</v>
      </c>
      <c r="E13" s="1">
        <f t="shared" si="1"/>
        <v>268.64449999999999</v>
      </c>
      <c r="F13" s="1">
        <v>5.12</v>
      </c>
      <c r="G13" s="1">
        <f t="shared" si="2"/>
        <v>0</v>
      </c>
      <c r="H13" s="1">
        <f t="shared" si="3"/>
        <v>0</v>
      </c>
      <c r="I13" s="1"/>
      <c r="J13" s="1"/>
    </row>
    <row r="14" spans="1:10" x14ac:dyDescent="0.25">
      <c r="A14" s="1">
        <v>60</v>
      </c>
      <c r="B14" s="1">
        <v>76.7</v>
      </c>
      <c r="C14" s="1">
        <v>20</v>
      </c>
      <c r="D14" s="1">
        <f t="shared" si="0"/>
        <v>3.835</v>
      </c>
      <c r="E14" s="1">
        <f t="shared" si="1"/>
        <v>294.14449999999999</v>
      </c>
      <c r="F14" s="1">
        <v>5.37</v>
      </c>
      <c r="G14" s="1">
        <f t="shared" si="2"/>
        <v>0</v>
      </c>
      <c r="H14" s="1">
        <f t="shared" si="3"/>
        <v>0</v>
      </c>
      <c r="I14" s="1"/>
      <c r="J14" s="1"/>
    </row>
    <row r="16" spans="1:10" x14ac:dyDescent="0.25">
      <c r="A16" s="16" t="s">
        <v>11</v>
      </c>
      <c r="B16" s="16"/>
      <c r="C16" s="16"/>
      <c r="D16" s="16"/>
      <c r="E16" s="16"/>
    </row>
    <row r="17" spans="1:5" x14ac:dyDescent="0.25">
      <c r="A17" s="1" t="s">
        <v>1</v>
      </c>
      <c r="B17" s="1" t="s">
        <v>2</v>
      </c>
      <c r="C17" s="1" t="s">
        <v>12</v>
      </c>
      <c r="D17" s="1" t="s">
        <v>13</v>
      </c>
      <c r="E17" s="1" t="s">
        <v>23</v>
      </c>
    </row>
    <row r="18" spans="1:5" x14ac:dyDescent="0.25">
      <c r="A18" s="1">
        <v>5</v>
      </c>
      <c r="B18" s="1">
        <v>10.5</v>
      </c>
      <c r="C18" s="1">
        <v>53</v>
      </c>
      <c r="D18" s="1">
        <f>B18/C18</f>
        <v>0.19811320754716982</v>
      </c>
      <c r="E18" s="1">
        <f>D18*B18</f>
        <v>2.0801886792452833</v>
      </c>
    </row>
    <row r="19" spans="1:5" x14ac:dyDescent="0.25">
      <c r="A19" s="1">
        <v>10</v>
      </c>
      <c r="B19" s="1">
        <v>22.1</v>
      </c>
      <c r="C19" s="1">
        <v>53</v>
      </c>
      <c r="D19" s="1">
        <f>B19/C19</f>
        <v>0.41698113207547172</v>
      </c>
      <c r="E19" s="1">
        <f t="shared" ref="E19:E29" si="4">D19*B19</f>
        <v>9.2152830188679253</v>
      </c>
    </row>
    <row r="20" spans="1:5" x14ac:dyDescent="0.25">
      <c r="A20" s="1">
        <v>15</v>
      </c>
      <c r="B20" s="1">
        <v>33.4</v>
      </c>
      <c r="C20" s="1">
        <v>53</v>
      </c>
      <c r="D20" s="1">
        <f t="shared" ref="D20:D29" si="5">B20/C20</f>
        <v>0.63018867924528299</v>
      </c>
      <c r="E20" s="1">
        <f t="shared" si="4"/>
        <v>21.048301886792451</v>
      </c>
    </row>
    <row r="21" spans="1:5" x14ac:dyDescent="0.25">
      <c r="A21" s="1">
        <v>20</v>
      </c>
      <c r="B21" s="1">
        <v>44.5</v>
      </c>
      <c r="C21" s="1">
        <v>53</v>
      </c>
      <c r="D21" s="1">
        <f t="shared" si="5"/>
        <v>0.839622641509434</v>
      </c>
      <c r="E21" s="1">
        <f t="shared" si="4"/>
        <v>37.363207547169814</v>
      </c>
    </row>
    <row r="22" spans="1:5" x14ac:dyDescent="0.25">
      <c r="A22" s="1">
        <v>25</v>
      </c>
      <c r="B22" s="1">
        <v>55.3</v>
      </c>
      <c r="C22" s="1">
        <v>53</v>
      </c>
      <c r="D22" s="1">
        <f t="shared" si="5"/>
        <v>1.0433962264150942</v>
      </c>
      <c r="E22" s="1">
        <f t="shared" si="4"/>
        <v>57.699811320754705</v>
      </c>
    </row>
    <row r="23" spans="1:5" x14ac:dyDescent="0.25">
      <c r="A23" s="1">
        <v>30</v>
      </c>
      <c r="B23" s="1">
        <v>65.900000000000006</v>
      </c>
      <c r="C23" s="1">
        <v>53</v>
      </c>
      <c r="D23" s="1">
        <f t="shared" si="5"/>
        <v>1.2433962264150944</v>
      </c>
      <c r="E23" s="1">
        <f t="shared" si="4"/>
        <v>81.939811320754728</v>
      </c>
    </row>
    <row r="24" spans="1:5" x14ac:dyDescent="0.25">
      <c r="A24" s="1">
        <v>35</v>
      </c>
      <c r="B24" s="1">
        <v>76.3</v>
      </c>
      <c r="C24" s="1">
        <v>53</v>
      </c>
      <c r="D24" s="1">
        <f t="shared" si="5"/>
        <v>1.439622641509434</v>
      </c>
      <c r="E24" s="1">
        <f t="shared" si="4"/>
        <v>109.84320754716981</v>
      </c>
    </row>
    <row r="25" spans="1:5" x14ac:dyDescent="0.25">
      <c r="A25" s="1">
        <v>40</v>
      </c>
      <c r="B25" s="1">
        <v>86.3</v>
      </c>
      <c r="C25" s="1">
        <v>53</v>
      </c>
      <c r="D25" s="1">
        <f t="shared" si="5"/>
        <v>1.6283018867924528</v>
      </c>
      <c r="E25" s="1">
        <f t="shared" si="4"/>
        <v>140.52245283018868</v>
      </c>
    </row>
    <row r="26" spans="1:5" x14ac:dyDescent="0.25">
      <c r="A26" s="1">
        <v>45</v>
      </c>
      <c r="B26" s="1">
        <v>96.3</v>
      </c>
      <c r="C26" s="1">
        <v>53</v>
      </c>
      <c r="D26" s="1">
        <f t="shared" si="5"/>
        <v>1.8169811320754716</v>
      </c>
      <c r="E26" s="1">
        <f t="shared" si="4"/>
        <v>174.97528301886791</v>
      </c>
    </row>
    <row r="27" spans="1:5" x14ac:dyDescent="0.25">
      <c r="A27" s="1">
        <v>50</v>
      </c>
      <c r="B27" s="1">
        <v>106</v>
      </c>
      <c r="C27" s="1">
        <v>53</v>
      </c>
      <c r="D27" s="1">
        <f t="shared" si="5"/>
        <v>2</v>
      </c>
      <c r="E27" s="1">
        <f t="shared" si="4"/>
        <v>212</v>
      </c>
    </row>
    <row r="28" spans="1:5" x14ac:dyDescent="0.25">
      <c r="A28" s="1">
        <v>55</v>
      </c>
      <c r="B28" s="1">
        <v>115.8</v>
      </c>
      <c r="C28" s="1">
        <v>53</v>
      </c>
      <c r="D28" s="1">
        <f t="shared" si="5"/>
        <v>2.1849056603773582</v>
      </c>
      <c r="E28" s="1">
        <f t="shared" si="4"/>
        <v>253.01207547169807</v>
      </c>
    </row>
    <row r="29" spans="1:5" x14ac:dyDescent="0.25">
      <c r="A29" s="1">
        <v>60</v>
      </c>
      <c r="B29" s="1">
        <v>124.8</v>
      </c>
      <c r="C29" s="1">
        <v>53</v>
      </c>
      <c r="D29" s="1">
        <f t="shared" si="5"/>
        <v>2.3547169811320754</v>
      </c>
      <c r="E29" s="1">
        <f t="shared" si="4"/>
        <v>293.86867924528298</v>
      </c>
    </row>
    <row r="31" spans="1:5" x14ac:dyDescent="0.25">
      <c r="A31" s="16" t="s">
        <v>11</v>
      </c>
      <c r="B31" s="16"/>
      <c r="C31" s="16"/>
      <c r="D31" s="16"/>
      <c r="E31" s="16"/>
    </row>
    <row r="32" spans="1:5" x14ac:dyDescent="0.25">
      <c r="A32" s="1" t="s">
        <v>1</v>
      </c>
      <c r="B32" s="1" t="s">
        <v>2</v>
      </c>
      <c r="C32" s="1" t="s">
        <v>12</v>
      </c>
      <c r="D32" s="1" t="s">
        <v>13</v>
      </c>
      <c r="E32" s="1" t="s">
        <v>23</v>
      </c>
    </row>
    <row r="33" spans="1:5" x14ac:dyDescent="0.25">
      <c r="A33" s="1">
        <v>5</v>
      </c>
      <c r="B33" s="1">
        <v>11.4</v>
      </c>
      <c r="C33" s="1">
        <v>100.2</v>
      </c>
      <c r="D33" s="1">
        <f>B33/C33</f>
        <v>0.11377245508982035</v>
      </c>
      <c r="E33" s="1">
        <f>D33*B33</f>
        <v>1.2970059880239522</v>
      </c>
    </row>
    <row r="34" spans="1:5" x14ac:dyDescent="0.25">
      <c r="A34" s="1">
        <v>10</v>
      </c>
      <c r="B34" s="1">
        <v>23.6</v>
      </c>
      <c r="C34" s="1">
        <v>100.2</v>
      </c>
      <c r="D34" s="1">
        <f>B34/C34</f>
        <v>0.23552894211576847</v>
      </c>
      <c r="E34" s="1">
        <f t="shared" ref="E34:E43" si="6">D34*B34</f>
        <v>5.5584830339321361</v>
      </c>
    </row>
    <row r="35" spans="1:5" x14ac:dyDescent="0.25">
      <c r="A35" s="1">
        <v>15</v>
      </c>
      <c r="B35" s="1">
        <v>35.799999999999997</v>
      </c>
      <c r="C35" s="1">
        <v>100.2</v>
      </c>
      <c r="D35" s="1">
        <f t="shared" ref="D35:D44" si="7">B35/C35</f>
        <v>0.35728542914171652</v>
      </c>
      <c r="E35" s="1">
        <f t="shared" si="6"/>
        <v>12.79081836327345</v>
      </c>
    </row>
    <row r="36" spans="1:5" x14ac:dyDescent="0.25">
      <c r="A36" s="1">
        <v>20</v>
      </c>
      <c r="B36" s="1">
        <v>47.8</v>
      </c>
      <c r="C36" s="1">
        <v>100.2</v>
      </c>
      <c r="D36" s="1">
        <f t="shared" si="7"/>
        <v>0.47704590818363268</v>
      </c>
      <c r="E36" s="1">
        <f t="shared" si="6"/>
        <v>22.80279441117764</v>
      </c>
    </row>
    <row r="37" spans="1:5" x14ac:dyDescent="0.25">
      <c r="A37" s="1">
        <v>25</v>
      </c>
      <c r="B37" s="1">
        <v>59.7</v>
      </c>
      <c r="C37" s="1">
        <v>100.2</v>
      </c>
      <c r="D37" s="1">
        <f t="shared" si="7"/>
        <v>0.59580838323353291</v>
      </c>
      <c r="E37" s="1">
        <f t="shared" si="6"/>
        <v>35.569760479041918</v>
      </c>
    </row>
    <row r="38" spans="1:5" x14ac:dyDescent="0.25">
      <c r="A38" s="1">
        <v>30</v>
      </c>
      <c r="B38" s="1">
        <v>71.5</v>
      </c>
      <c r="C38" s="1">
        <v>100.2</v>
      </c>
      <c r="D38" s="1">
        <f t="shared" si="7"/>
        <v>0.71357285429141715</v>
      </c>
      <c r="E38" s="1">
        <f t="shared" si="6"/>
        <v>51.020459081836329</v>
      </c>
    </row>
    <row r="39" spans="1:5" x14ac:dyDescent="0.25">
      <c r="A39" s="1">
        <v>35</v>
      </c>
      <c r="B39" s="1">
        <v>83.1</v>
      </c>
      <c r="C39" s="1">
        <v>100.2</v>
      </c>
      <c r="D39" s="1">
        <f t="shared" si="7"/>
        <v>0.82934131736526939</v>
      </c>
      <c r="E39" s="1">
        <f t="shared" si="6"/>
        <v>68.918263473053884</v>
      </c>
    </row>
    <row r="40" spans="1:5" x14ac:dyDescent="0.25">
      <c r="A40" s="1">
        <v>40</v>
      </c>
      <c r="B40" s="1">
        <v>94.5</v>
      </c>
      <c r="C40" s="1">
        <v>100.2</v>
      </c>
      <c r="D40" s="1">
        <f t="shared" si="7"/>
        <v>0.94311377245508976</v>
      </c>
      <c r="E40" s="1">
        <f t="shared" si="6"/>
        <v>89.124251497005986</v>
      </c>
    </row>
    <row r="41" spans="1:5" x14ac:dyDescent="0.25">
      <c r="A41" s="1">
        <v>45</v>
      </c>
      <c r="B41" s="1">
        <v>105.8</v>
      </c>
      <c r="C41" s="1">
        <v>100.2</v>
      </c>
      <c r="D41" s="1">
        <f t="shared" si="7"/>
        <v>1.0558882235528941</v>
      </c>
      <c r="E41" s="1">
        <f t="shared" si="6"/>
        <v>111.7129740518962</v>
      </c>
    </row>
    <row r="42" spans="1:5" x14ac:dyDescent="0.25">
      <c r="A42" s="1">
        <v>50</v>
      </c>
      <c r="B42" s="1">
        <v>116.8</v>
      </c>
      <c r="C42" s="1">
        <v>100.2</v>
      </c>
      <c r="D42" s="1">
        <f t="shared" si="7"/>
        <v>1.1656686626746506</v>
      </c>
      <c r="E42" s="1">
        <f t="shared" si="6"/>
        <v>136.1500998003992</v>
      </c>
    </row>
    <row r="43" spans="1:5" x14ac:dyDescent="0.25">
      <c r="A43" s="1">
        <v>55</v>
      </c>
      <c r="B43" s="1">
        <v>127.7</v>
      </c>
      <c r="C43" s="1">
        <v>100.2</v>
      </c>
      <c r="D43" s="1">
        <f t="shared" si="7"/>
        <v>1.2744510978043913</v>
      </c>
      <c r="E43" s="1">
        <f t="shared" si="6"/>
        <v>162.74740518962076</v>
      </c>
    </row>
    <row r="44" spans="1:5" x14ac:dyDescent="0.25">
      <c r="A44" s="1">
        <v>60</v>
      </c>
      <c r="B44" s="1">
        <v>138</v>
      </c>
      <c r="C44" s="1">
        <v>100.2</v>
      </c>
      <c r="D44" s="1">
        <f t="shared" si="7"/>
        <v>1.3772455089820359</v>
      </c>
      <c r="E44" s="1">
        <f>D44*B44</f>
        <v>190.05988023952096</v>
      </c>
    </row>
    <row r="46" spans="1:5" x14ac:dyDescent="0.25">
      <c r="A46" s="16" t="s">
        <v>11</v>
      </c>
      <c r="B46" s="16"/>
      <c r="C46" s="16"/>
      <c r="D46" s="16"/>
    </row>
    <row r="47" spans="1:5" x14ac:dyDescent="0.25">
      <c r="A47" s="1" t="s">
        <v>1</v>
      </c>
      <c r="B47" s="1" t="s">
        <v>2</v>
      </c>
      <c r="C47" s="1" t="s">
        <v>12</v>
      </c>
      <c r="D47" s="1" t="s">
        <v>13</v>
      </c>
      <c r="E47" s="1" t="s">
        <v>23</v>
      </c>
    </row>
    <row r="48" spans="1:5" x14ac:dyDescent="0.25">
      <c r="A48" s="1">
        <v>5</v>
      </c>
      <c r="B48" s="1">
        <v>11.7</v>
      </c>
      <c r="C48" s="1">
        <v>150.4</v>
      </c>
      <c r="D48" s="1">
        <f>B48/C48</f>
        <v>7.7792553191489353E-2</v>
      </c>
      <c r="E48" s="1">
        <f>D48*B48</f>
        <v>0.91017287234042532</v>
      </c>
    </row>
    <row r="49" spans="1:6" x14ac:dyDescent="0.25">
      <c r="A49" s="1">
        <v>10</v>
      </c>
      <c r="B49" s="1">
        <v>24.3</v>
      </c>
      <c r="C49" s="1">
        <v>150.4</v>
      </c>
      <c r="D49" s="1">
        <f>B49/C49</f>
        <v>0.16156914893617022</v>
      </c>
      <c r="E49" s="1">
        <f t="shared" ref="E49:E58" si="8">D49*B49</f>
        <v>3.9261303191489363</v>
      </c>
    </row>
    <row r="50" spans="1:6" x14ac:dyDescent="0.25">
      <c r="A50" s="1">
        <v>15</v>
      </c>
      <c r="B50" s="1">
        <v>36.9</v>
      </c>
      <c r="C50" s="1">
        <v>150.4</v>
      </c>
      <c r="D50" s="1">
        <f t="shared" ref="D50:D59" si="9">B50/C50</f>
        <v>0.24534574468085105</v>
      </c>
      <c r="E50" s="1">
        <f t="shared" si="8"/>
        <v>9.0532579787234031</v>
      </c>
    </row>
    <row r="51" spans="1:6" x14ac:dyDescent="0.25">
      <c r="A51" s="1">
        <v>20</v>
      </c>
      <c r="B51" s="1">
        <v>49.4</v>
      </c>
      <c r="C51" s="1">
        <v>150.4</v>
      </c>
      <c r="D51" s="1">
        <f t="shared" si="9"/>
        <v>0.32845744680851063</v>
      </c>
      <c r="E51" s="1">
        <f t="shared" si="8"/>
        <v>16.225797872340426</v>
      </c>
    </row>
    <row r="52" spans="1:6" x14ac:dyDescent="0.25">
      <c r="A52" s="1">
        <v>25</v>
      </c>
      <c r="B52" s="1">
        <v>61.8</v>
      </c>
      <c r="C52" s="1">
        <v>150.4</v>
      </c>
      <c r="D52" s="1">
        <f t="shared" si="9"/>
        <v>0.41090425531914893</v>
      </c>
      <c r="E52" s="1">
        <f t="shared" si="8"/>
        <v>25.393882978723404</v>
      </c>
    </row>
    <row r="53" spans="1:6" x14ac:dyDescent="0.25">
      <c r="A53" s="1">
        <v>30</v>
      </c>
      <c r="B53" s="1">
        <v>74</v>
      </c>
      <c r="C53" s="1">
        <v>150.4</v>
      </c>
      <c r="D53" s="1">
        <f t="shared" si="9"/>
        <v>0.49202127659574468</v>
      </c>
      <c r="E53" s="1">
        <f t="shared" si="8"/>
        <v>36.409574468085104</v>
      </c>
    </row>
    <row r="54" spans="1:6" x14ac:dyDescent="0.25">
      <c r="A54" s="1">
        <v>35</v>
      </c>
      <c r="B54" s="1">
        <v>86.2</v>
      </c>
      <c r="C54" s="1">
        <v>150.4</v>
      </c>
      <c r="D54" s="1">
        <f t="shared" si="9"/>
        <v>0.57313829787234039</v>
      </c>
      <c r="E54" s="1">
        <f t="shared" si="8"/>
        <v>49.404521276595744</v>
      </c>
    </row>
    <row r="55" spans="1:6" x14ac:dyDescent="0.25">
      <c r="A55" s="1">
        <v>40</v>
      </c>
      <c r="B55" s="1">
        <v>98.3</v>
      </c>
      <c r="C55" s="1">
        <v>150.4</v>
      </c>
      <c r="D55" s="1">
        <f t="shared" si="9"/>
        <v>0.65359042553191482</v>
      </c>
      <c r="E55" s="1">
        <f t="shared" si="8"/>
        <v>64.24793882978723</v>
      </c>
    </row>
    <row r="56" spans="1:6" x14ac:dyDescent="0.25">
      <c r="A56" s="1">
        <v>45</v>
      </c>
      <c r="B56" s="1">
        <v>110.2</v>
      </c>
      <c r="C56" s="1">
        <v>150.4</v>
      </c>
      <c r="D56" s="1">
        <f t="shared" si="9"/>
        <v>0.73271276595744683</v>
      </c>
      <c r="E56" s="1">
        <f t="shared" si="8"/>
        <v>80.744946808510647</v>
      </c>
    </row>
    <row r="57" spans="1:6" x14ac:dyDescent="0.25">
      <c r="A57" s="1">
        <v>50</v>
      </c>
      <c r="B57" s="1">
        <v>122</v>
      </c>
      <c r="C57" s="1">
        <v>150.4</v>
      </c>
      <c r="D57" s="1">
        <f t="shared" si="9"/>
        <v>0.81117021276595747</v>
      </c>
      <c r="E57" s="1">
        <f t="shared" si="8"/>
        <v>98.962765957446805</v>
      </c>
    </row>
    <row r="58" spans="1:6" x14ac:dyDescent="0.25">
      <c r="A58" s="1">
        <v>55</v>
      </c>
      <c r="B58" s="1">
        <v>133.6</v>
      </c>
      <c r="C58" s="1">
        <v>150.4</v>
      </c>
      <c r="D58" s="1">
        <f t="shared" si="9"/>
        <v>0.88829787234042545</v>
      </c>
      <c r="E58" s="1">
        <f t="shared" si="8"/>
        <v>118.67659574468084</v>
      </c>
    </row>
    <row r="59" spans="1:6" x14ac:dyDescent="0.25">
      <c r="A59" s="1">
        <v>60</v>
      </c>
      <c r="B59" s="1">
        <v>144.80000000000001</v>
      </c>
      <c r="C59" s="1">
        <v>150.4</v>
      </c>
      <c r="D59" s="1">
        <f t="shared" si="9"/>
        <v>0.9627659574468086</v>
      </c>
      <c r="E59" s="1">
        <f>D59*B59</f>
        <v>139.40851063829788</v>
      </c>
    </row>
    <row r="61" spans="1:6" x14ac:dyDescent="0.25">
      <c r="A61" s="16" t="s">
        <v>11</v>
      </c>
      <c r="B61" s="16"/>
      <c r="C61" s="16"/>
      <c r="D61" s="16"/>
      <c r="E61" s="16"/>
      <c r="F61" s="16"/>
    </row>
    <row r="62" spans="1:6" x14ac:dyDescent="0.25">
      <c r="A62" s="1" t="s">
        <v>1</v>
      </c>
      <c r="B62" s="1" t="s">
        <v>2</v>
      </c>
      <c r="C62" s="1" t="s">
        <v>12</v>
      </c>
      <c r="D62" s="1" t="s">
        <v>13</v>
      </c>
      <c r="E62" s="1" t="s">
        <v>23</v>
      </c>
      <c r="F62" s="1" t="s">
        <v>25</v>
      </c>
    </row>
    <row r="63" spans="1:6" x14ac:dyDescent="0.25">
      <c r="A63" s="1">
        <v>5</v>
      </c>
      <c r="B63" s="1">
        <v>12.5</v>
      </c>
      <c r="C63" s="1">
        <v>198.6</v>
      </c>
      <c r="D63" s="1">
        <v>6.7000000000000004E-2</v>
      </c>
      <c r="E63" s="1">
        <f>D63*B63</f>
        <v>0.83750000000000002</v>
      </c>
      <c r="F63" s="1">
        <f>B63/D63</f>
        <v>186.56716417910448</v>
      </c>
    </row>
    <row r="64" spans="1:6" x14ac:dyDescent="0.25">
      <c r="A64" s="1">
        <v>10</v>
      </c>
      <c r="B64" s="1">
        <v>24.95</v>
      </c>
      <c r="C64" s="1">
        <v>198.2</v>
      </c>
      <c r="D64" s="1">
        <v>0.115</v>
      </c>
      <c r="E64" s="1">
        <f t="shared" ref="E64:E67" si="10">D64*B64</f>
        <v>2.8692500000000001</v>
      </c>
      <c r="F64" s="1">
        <f t="shared" ref="F64:F73" si="11">B64/D64</f>
        <v>216.95652173913041</v>
      </c>
    </row>
    <row r="65" spans="1:14" x14ac:dyDescent="0.25">
      <c r="A65" s="1">
        <v>15</v>
      </c>
      <c r="B65" s="1">
        <v>37.840000000000003</v>
      </c>
      <c r="C65" s="1">
        <v>198.1</v>
      </c>
      <c r="D65" s="1">
        <v>0.17499999999999999</v>
      </c>
      <c r="E65" s="1">
        <f t="shared" si="10"/>
        <v>6.6219999999999999</v>
      </c>
      <c r="F65" s="1">
        <f t="shared" si="11"/>
        <v>216.22857142857146</v>
      </c>
    </row>
    <row r="66" spans="1:14" x14ac:dyDescent="0.25">
      <c r="A66" s="1">
        <v>20</v>
      </c>
      <c r="B66" s="1">
        <v>50.7</v>
      </c>
      <c r="C66" s="1">
        <v>198.1</v>
      </c>
      <c r="D66" s="1">
        <v>0.23400000000000001</v>
      </c>
      <c r="E66" s="1">
        <f t="shared" si="10"/>
        <v>11.863800000000001</v>
      </c>
      <c r="F66" s="1">
        <f t="shared" si="11"/>
        <v>216.66666666666666</v>
      </c>
    </row>
    <row r="67" spans="1:14" x14ac:dyDescent="0.25">
      <c r="A67" s="1">
        <v>25</v>
      </c>
      <c r="B67" s="1">
        <v>63.4</v>
      </c>
      <c r="C67" s="1">
        <v>198.3</v>
      </c>
      <c r="D67" s="1">
        <v>0.29299999999999998</v>
      </c>
      <c r="E67" s="1">
        <f t="shared" si="10"/>
        <v>18.5762</v>
      </c>
      <c r="F67" s="1">
        <f t="shared" si="11"/>
        <v>216.38225255972696</v>
      </c>
    </row>
    <row r="68" spans="1:14" x14ac:dyDescent="0.25">
      <c r="A68" s="1">
        <v>30</v>
      </c>
      <c r="B68" s="1">
        <v>76.099999999999994</v>
      </c>
      <c r="C68" s="1">
        <v>198.4</v>
      </c>
      <c r="D68" s="1">
        <v>0.35199999999999998</v>
      </c>
      <c r="E68" s="1">
        <f t="shared" ref="E68:E74" si="12">D68*B68</f>
        <v>26.787199999999995</v>
      </c>
      <c r="F68" s="1">
        <f t="shared" si="11"/>
        <v>216.19318181818181</v>
      </c>
    </row>
    <row r="69" spans="1:14" x14ac:dyDescent="0.25">
      <c r="A69" s="1">
        <v>35</v>
      </c>
      <c r="B69" s="1">
        <v>88.7</v>
      </c>
      <c r="C69" s="1">
        <v>198.6</v>
      </c>
      <c r="D69" s="1">
        <v>0.41</v>
      </c>
      <c r="E69" s="1">
        <f t="shared" si="12"/>
        <v>36.366999999999997</v>
      </c>
      <c r="F69" s="1">
        <f t="shared" si="11"/>
        <v>216.34146341463418</v>
      </c>
    </row>
    <row r="70" spans="1:14" x14ac:dyDescent="0.25">
      <c r="A70" s="1">
        <v>40</v>
      </c>
      <c r="B70" s="1">
        <v>101.2</v>
      </c>
      <c r="C70" s="1">
        <v>198.9</v>
      </c>
      <c r="D70" s="1">
        <v>0.46800000000000003</v>
      </c>
      <c r="E70" s="1">
        <f t="shared" si="12"/>
        <v>47.361600000000003</v>
      </c>
      <c r="F70" s="1">
        <f t="shared" si="11"/>
        <v>216.23931623931622</v>
      </c>
    </row>
    <row r="71" spans="1:14" x14ac:dyDescent="0.25">
      <c r="A71" s="1">
        <v>45</v>
      </c>
      <c r="B71" s="1">
        <v>113.6</v>
      </c>
      <c r="C71" s="1">
        <v>199.4</v>
      </c>
      <c r="D71" s="1">
        <v>0.52600000000000002</v>
      </c>
      <c r="E71" s="1">
        <f t="shared" si="12"/>
        <v>59.753599999999999</v>
      </c>
      <c r="F71" s="1">
        <f t="shared" si="11"/>
        <v>215.96958174904941</v>
      </c>
    </row>
    <row r="72" spans="1:14" x14ac:dyDescent="0.25">
      <c r="A72" s="1">
        <v>50</v>
      </c>
      <c r="B72" s="1">
        <v>126</v>
      </c>
      <c r="C72" s="1">
        <v>200</v>
      </c>
      <c r="D72" s="1">
        <v>0.58199999999999996</v>
      </c>
      <c r="E72" s="1">
        <f t="shared" si="12"/>
        <v>73.331999999999994</v>
      </c>
      <c r="F72" s="1">
        <f t="shared" si="11"/>
        <v>216.49484536082477</v>
      </c>
    </row>
    <row r="73" spans="1:14" x14ac:dyDescent="0.25">
      <c r="A73" s="1">
        <v>55</v>
      </c>
      <c r="B73" s="1">
        <v>138.1</v>
      </c>
      <c r="C73" s="1">
        <v>200.1</v>
      </c>
      <c r="D73" s="1">
        <v>0.63900000000000001</v>
      </c>
      <c r="E73" s="1">
        <f t="shared" si="12"/>
        <v>88.245899999999992</v>
      </c>
      <c r="F73" s="1">
        <f t="shared" si="11"/>
        <v>216.11893583724569</v>
      </c>
    </row>
    <row r="74" spans="1:14" x14ac:dyDescent="0.25">
      <c r="A74" s="1">
        <v>60</v>
      </c>
      <c r="B74" s="1">
        <v>149.9</v>
      </c>
      <c r="C74" s="1">
        <v>200.5</v>
      </c>
      <c r="D74" s="1">
        <v>0.69399999999999995</v>
      </c>
      <c r="E74" s="1">
        <f t="shared" si="12"/>
        <v>104.03059999999999</v>
      </c>
      <c r="F74" s="1">
        <f>B74/D74</f>
        <v>215.99423631123921</v>
      </c>
    </row>
    <row r="76" spans="1:14" x14ac:dyDescent="0.25">
      <c r="A76" s="17" t="s">
        <v>26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8"/>
    </row>
    <row r="77" spans="1:14" x14ac:dyDescent="0.25">
      <c r="A77" s="1" t="s">
        <v>0</v>
      </c>
      <c r="B77" s="1" t="s">
        <v>12</v>
      </c>
      <c r="C77" s="1" t="s">
        <v>4</v>
      </c>
      <c r="D77" s="1" t="s">
        <v>14</v>
      </c>
      <c r="E77" s="1" t="s">
        <v>5</v>
      </c>
      <c r="F77" s="1" t="s">
        <v>15</v>
      </c>
      <c r="G77" s="1" t="s">
        <v>6</v>
      </c>
      <c r="H77" s="1" t="s">
        <v>16</v>
      </c>
      <c r="I77" s="1" t="s">
        <v>7</v>
      </c>
      <c r="J77" s="1" t="s">
        <v>17</v>
      </c>
      <c r="K77" s="1" t="s">
        <v>9</v>
      </c>
      <c r="L77" s="1" t="s">
        <v>18</v>
      </c>
      <c r="M77" s="1" t="s">
        <v>8</v>
      </c>
      <c r="N77" s="1" t="s">
        <v>17</v>
      </c>
    </row>
    <row r="78" spans="1:14" x14ac:dyDescent="0.25">
      <c r="A78" s="1">
        <v>10</v>
      </c>
      <c r="B78" s="1">
        <v>50.4</v>
      </c>
      <c r="C78" s="1">
        <v>54.4</v>
      </c>
      <c r="D78" s="1">
        <f>C78/$B$78</f>
        <v>1.0793650793650793</v>
      </c>
      <c r="E78" s="1">
        <v>46</v>
      </c>
      <c r="F78" s="1">
        <f t="shared" ref="F78:F83" si="13">E78/$B$78</f>
        <v>0.91269841269841268</v>
      </c>
      <c r="G78" s="1">
        <v>50</v>
      </c>
      <c r="H78" s="1">
        <f>G78/$B$78</f>
        <v>0.99206349206349209</v>
      </c>
      <c r="I78" s="1">
        <v>28</v>
      </c>
      <c r="J78" s="1">
        <f>I78/$B$78</f>
        <v>0.55555555555555558</v>
      </c>
      <c r="K78" s="1">
        <f t="shared" ref="K78:K83" ca="1" si="14">I78+RANDBETWEEN(-2,2)</f>
        <v>30</v>
      </c>
      <c r="L78" s="1">
        <f t="shared" ref="L78:L83" ca="1" si="15">K78/$B$78</f>
        <v>0.59523809523809523</v>
      </c>
      <c r="M78" s="1">
        <f t="shared" ref="M78:M83" ca="1" si="16">K78+RANDBETWEEN(-2,2)</f>
        <v>29</v>
      </c>
      <c r="N78" s="1">
        <f t="shared" ref="N78:N83" ca="1" si="17">M78/$B$78</f>
        <v>0.57539682539682546</v>
      </c>
    </row>
    <row r="79" spans="1:14" x14ac:dyDescent="0.25">
      <c r="A79" s="1">
        <v>20</v>
      </c>
      <c r="B79" s="1">
        <v>50.4</v>
      </c>
      <c r="C79" s="1">
        <v>107</v>
      </c>
      <c r="D79" s="1">
        <f t="shared" ref="D79:D83" si="18">C79/$B$78</f>
        <v>2.123015873015873</v>
      </c>
      <c r="E79" s="1">
        <v>92</v>
      </c>
      <c r="F79" s="1">
        <f t="shared" si="13"/>
        <v>1.8253968253968254</v>
      </c>
      <c r="G79" s="1">
        <v>96</v>
      </c>
      <c r="H79" s="1">
        <f t="shared" ref="H79:H83" si="19">G79/$B$78</f>
        <v>1.9047619047619049</v>
      </c>
      <c r="I79" s="1">
        <v>56</v>
      </c>
      <c r="J79" s="1">
        <f t="shared" ref="J79:J83" si="20">I79/$B$78</f>
        <v>1.1111111111111112</v>
      </c>
      <c r="K79" s="1">
        <f t="shared" ca="1" si="14"/>
        <v>56</v>
      </c>
      <c r="L79" s="1">
        <f t="shared" ca="1" si="15"/>
        <v>1.1111111111111112</v>
      </c>
      <c r="M79" s="1">
        <f t="shared" ca="1" si="16"/>
        <v>57</v>
      </c>
      <c r="N79" s="1">
        <f t="shared" ca="1" si="17"/>
        <v>1.1309523809523809</v>
      </c>
    </row>
    <row r="80" spans="1:14" x14ac:dyDescent="0.25">
      <c r="A80" s="1">
        <v>30</v>
      </c>
      <c r="B80" s="1">
        <v>50.4</v>
      </c>
      <c r="C80" s="1">
        <v>148</v>
      </c>
      <c r="D80" s="1">
        <f t="shared" si="18"/>
        <v>2.9365079365079367</v>
      </c>
      <c r="E80" s="1">
        <v>130</v>
      </c>
      <c r="F80" s="1">
        <f t="shared" si="13"/>
        <v>2.5793650793650795</v>
      </c>
      <c r="G80" s="1">
        <v>136</v>
      </c>
      <c r="H80" s="1">
        <f t="shared" si="19"/>
        <v>2.6984126984126986</v>
      </c>
      <c r="I80" s="1">
        <v>82</v>
      </c>
      <c r="J80" s="1">
        <f t="shared" si="20"/>
        <v>1.626984126984127</v>
      </c>
      <c r="K80" s="1">
        <f t="shared" ca="1" si="14"/>
        <v>83</v>
      </c>
      <c r="L80" s="1">
        <f t="shared" ca="1" si="15"/>
        <v>1.646825396825397</v>
      </c>
      <c r="M80" s="1">
        <f t="shared" ca="1" si="16"/>
        <v>84</v>
      </c>
      <c r="N80" s="1">
        <f t="shared" ca="1" si="17"/>
        <v>1.6666666666666667</v>
      </c>
    </row>
    <row r="81" spans="1:14" x14ac:dyDescent="0.25">
      <c r="A81" s="1">
        <v>40</v>
      </c>
      <c r="B81" s="1">
        <v>50.4</v>
      </c>
      <c r="C81" s="1">
        <v>196</v>
      </c>
      <c r="D81" s="1">
        <f t="shared" si="18"/>
        <v>3.8888888888888888</v>
      </c>
      <c r="E81" s="1">
        <v>178</v>
      </c>
      <c r="F81" s="1">
        <f t="shared" si="13"/>
        <v>3.5317460317460316</v>
      </c>
      <c r="G81" s="1">
        <v>176</v>
      </c>
      <c r="H81" s="1">
        <f t="shared" si="19"/>
        <v>3.4920634920634921</v>
      </c>
      <c r="I81" s="1">
        <v>108</v>
      </c>
      <c r="J81" s="1">
        <f t="shared" si="20"/>
        <v>2.1428571428571428</v>
      </c>
      <c r="K81" s="1">
        <f ca="1">I81+RANDBETWEEN(-2,2)</f>
        <v>108</v>
      </c>
      <c r="L81" s="1">
        <f t="shared" ca="1" si="15"/>
        <v>2.1428571428571428</v>
      </c>
      <c r="M81" s="1">
        <f t="shared" ca="1" si="16"/>
        <v>110</v>
      </c>
      <c r="N81" s="1">
        <f t="shared" ca="1" si="17"/>
        <v>2.1825396825396828</v>
      </c>
    </row>
    <row r="82" spans="1:14" x14ac:dyDescent="0.25">
      <c r="A82" s="1">
        <v>50</v>
      </c>
      <c r="B82" s="1">
        <v>50.4</v>
      </c>
      <c r="C82" s="1">
        <v>234</v>
      </c>
      <c r="D82" s="1">
        <f>C82/$B$78</f>
        <v>4.6428571428571432</v>
      </c>
      <c r="E82" s="1">
        <v>210</v>
      </c>
      <c r="F82" s="1">
        <f t="shared" si="13"/>
        <v>4.166666666666667</v>
      </c>
      <c r="G82" s="1">
        <v>216</v>
      </c>
      <c r="H82" s="1">
        <f t="shared" si="19"/>
        <v>4.2857142857142856</v>
      </c>
      <c r="I82" s="1">
        <v>134</v>
      </c>
      <c r="J82" s="1">
        <f t="shared" si="20"/>
        <v>2.6587301587301586</v>
      </c>
      <c r="K82" s="1">
        <f t="shared" ca="1" si="14"/>
        <v>136</v>
      </c>
      <c r="L82" s="1">
        <f t="shared" ca="1" si="15"/>
        <v>2.6984126984126986</v>
      </c>
      <c r="M82" s="1">
        <f t="shared" ca="1" si="16"/>
        <v>136</v>
      </c>
      <c r="N82" s="1">
        <f t="shared" ca="1" si="17"/>
        <v>2.6984126984126986</v>
      </c>
    </row>
    <row r="83" spans="1:14" x14ac:dyDescent="0.25">
      <c r="A83" s="1">
        <v>60</v>
      </c>
      <c r="B83" s="1">
        <v>50.4</v>
      </c>
      <c r="C83" s="1">
        <v>280</v>
      </c>
      <c r="D83" s="1">
        <f t="shared" si="18"/>
        <v>5.5555555555555554</v>
      </c>
      <c r="E83" s="1">
        <v>250</v>
      </c>
      <c r="F83" s="1">
        <f t="shared" si="13"/>
        <v>4.9603174603174605</v>
      </c>
      <c r="G83" s="1">
        <v>250</v>
      </c>
      <c r="H83" s="1">
        <f t="shared" si="19"/>
        <v>4.9603174603174605</v>
      </c>
      <c r="I83" s="1">
        <v>160</v>
      </c>
      <c r="J83" s="1">
        <f t="shared" si="20"/>
        <v>3.1746031746031749</v>
      </c>
      <c r="K83" s="1">
        <f t="shared" ca="1" si="14"/>
        <v>162</v>
      </c>
      <c r="L83" s="1">
        <f t="shared" ca="1" si="15"/>
        <v>3.2142857142857144</v>
      </c>
      <c r="M83" s="1">
        <f t="shared" ca="1" si="16"/>
        <v>162</v>
      </c>
      <c r="N83" s="1">
        <f t="shared" ca="1" si="17"/>
        <v>3.2142857142857144</v>
      </c>
    </row>
    <row r="85" spans="1:14" x14ac:dyDescent="0.25">
      <c r="A85" s="17" t="s">
        <v>26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8"/>
    </row>
    <row r="86" spans="1:14" x14ac:dyDescent="0.25">
      <c r="A86" s="1" t="s">
        <v>0</v>
      </c>
      <c r="B86" s="1" t="s">
        <v>12</v>
      </c>
      <c r="C86" s="1" t="s">
        <v>4</v>
      </c>
      <c r="D86" s="1" t="s">
        <v>14</v>
      </c>
      <c r="E86" s="1" t="s">
        <v>5</v>
      </c>
      <c r="F86" s="1" t="s">
        <v>15</v>
      </c>
      <c r="G86" s="1" t="s">
        <v>6</v>
      </c>
      <c r="H86" s="1" t="s">
        <v>16</v>
      </c>
      <c r="I86" s="1" t="s">
        <v>7</v>
      </c>
      <c r="J86" s="1" t="s">
        <v>17</v>
      </c>
      <c r="K86" s="1" t="s">
        <v>9</v>
      </c>
      <c r="L86" s="1" t="s">
        <v>18</v>
      </c>
      <c r="M86" s="1" t="s">
        <v>8</v>
      </c>
      <c r="N86" s="1" t="s">
        <v>17</v>
      </c>
    </row>
    <row r="87" spans="1:14" x14ac:dyDescent="0.25">
      <c r="A87" s="1">
        <v>10</v>
      </c>
      <c r="B87" s="1">
        <v>125</v>
      </c>
      <c r="C87" s="1">
        <v>60</v>
      </c>
      <c r="D87" s="1">
        <f>C87/$B$78</f>
        <v>1.1904761904761905</v>
      </c>
      <c r="E87" s="1">
        <v>56</v>
      </c>
      <c r="F87" s="1">
        <f t="shared" ref="F87:F92" si="21">E87/$B$78</f>
        <v>1.1111111111111112</v>
      </c>
      <c r="G87" s="1">
        <v>60</v>
      </c>
      <c r="H87" s="1">
        <f>G87/$B$78</f>
        <v>1.1904761904761905</v>
      </c>
      <c r="I87" s="1">
        <v>30</v>
      </c>
      <c r="J87" s="1">
        <f>I87/$B$78</f>
        <v>0.59523809523809523</v>
      </c>
      <c r="K87" s="1">
        <f t="shared" ref="K87:K92" ca="1" si="22">I87+RANDBETWEEN(-2,2)</f>
        <v>29</v>
      </c>
      <c r="L87" s="1">
        <f t="shared" ref="L87:L92" ca="1" si="23">K87/$B$78</f>
        <v>0.57539682539682546</v>
      </c>
      <c r="M87" s="1">
        <f t="shared" ref="M87:M92" ca="1" si="24">K87+RANDBETWEEN(-2,2)</f>
        <v>29</v>
      </c>
      <c r="N87" s="1">
        <f t="shared" ref="N87:N92" ca="1" si="25">M87/$B$78</f>
        <v>0.57539682539682546</v>
      </c>
    </row>
    <row r="88" spans="1:14" x14ac:dyDescent="0.25">
      <c r="A88" s="1">
        <v>20</v>
      </c>
      <c r="B88" s="1">
        <v>125</v>
      </c>
      <c r="C88" s="1">
        <v>120</v>
      </c>
      <c r="D88" s="1">
        <f t="shared" ref="D88:D92" si="26">C88/$B$78</f>
        <v>2.3809523809523809</v>
      </c>
      <c r="E88" s="1">
        <v>112</v>
      </c>
      <c r="F88" s="1">
        <f t="shared" si="21"/>
        <v>2.2222222222222223</v>
      </c>
      <c r="G88" s="1">
        <v>118</v>
      </c>
      <c r="H88" s="1">
        <f t="shared" ref="H88:H92" si="27">G88/$B$78</f>
        <v>2.3412698412698414</v>
      </c>
      <c r="I88" s="1">
        <v>62</v>
      </c>
      <c r="J88" s="1">
        <f t="shared" ref="J88:J92" si="28">I88/$B$78</f>
        <v>1.2301587301587302</v>
      </c>
      <c r="K88" s="1">
        <f t="shared" ca="1" si="22"/>
        <v>63</v>
      </c>
      <c r="L88" s="1">
        <f t="shared" ca="1" si="23"/>
        <v>1.25</v>
      </c>
      <c r="M88" s="1">
        <f t="shared" ca="1" si="24"/>
        <v>63</v>
      </c>
      <c r="N88" s="1">
        <f t="shared" ca="1" si="25"/>
        <v>1.25</v>
      </c>
    </row>
    <row r="89" spans="1:14" x14ac:dyDescent="0.25">
      <c r="A89" s="1">
        <v>30</v>
      </c>
      <c r="B89" s="1">
        <v>125</v>
      </c>
      <c r="C89" s="1">
        <v>172</v>
      </c>
      <c r="D89" s="1">
        <f t="shared" si="26"/>
        <v>3.412698412698413</v>
      </c>
      <c r="E89" s="1">
        <v>160</v>
      </c>
      <c r="F89" s="1">
        <f t="shared" si="21"/>
        <v>3.1746031746031749</v>
      </c>
      <c r="G89" s="1">
        <v>168</v>
      </c>
      <c r="H89" s="1">
        <f t="shared" si="27"/>
        <v>3.3333333333333335</v>
      </c>
      <c r="I89" s="1">
        <v>92</v>
      </c>
      <c r="J89" s="1">
        <f t="shared" si="28"/>
        <v>1.8253968253968254</v>
      </c>
      <c r="K89" s="1">
        <f t="shared" ca="1" si="22"/>
        <v>92</v>
      </c>
      <c r="L89" s="1">
        <f t="shared" ca="1" si="23"/>
        <v>1.8253968253968254</v>
      </c>
      <c r="M89" s="1">
        <f t="shared" ca="1" si="24"/>
        <v>94</v>
      </c>
      <c r="N89" s="1">
        <f t="shared" ca="1" si="25"/>
        <v>1.8650793650793651</v>
      </c>
    </row>
    <row r="90" spans="1:14" x14ac:dyDescent="0.25">
      <c r="A90" s="1">
        <v>40</v>
      </c>
      <c r="B90" s="1">
        <v>125</v>
      </c>
      <c r="C90" s="1">
        <v>226</v>
      </c>
      <c r="D90" s="1">
        <f t="shared" si="26"/>
        <v>4.4841269841269842</v>
      </c>
      <c r="E90" s="1">
        <v>208</v>
      </c>
      <c r="F90" s="1">
        <f t="shared" si="21"/>
        <v>4.1269841269841274</v>
      </c>
      <c r="G90" s="1">
        <v>220</v>
      </c>
      <c r="H90" s="1">
        <f t="shared" si="27"/>
        <v>4.3650793650793656</v>
      </c>
      <c r="I90" s="1">
        <v>126</v>
      </c>
      <c r="J90" s="1">
        <f t="shared" si="28"/>
        <v>2.5</v>
      </c>
      <c r="K90" s="1">
        <f t="shared" ca="1" si="22"/>
        <v>125</v>
      </c>
      <c r="L90" s="1">
        <f t="shared" ca="1" si="23"/>
        <v>2.4801587301587302</v>
      </c>
      <c r="M90" s="1">
        <f t="shared" ca="1" si="24"/>
        <v>124</v>
      </c>
      <c r="N90" s="1">
        <f t="shared" ca="1" si="25"/>
        <v>2.4603174603174605</v>
      </c>
    </row>
    <row r="91" spans="1:14" x14ac:dyDescent="0.25">
      <c r="A91" s="1">
        <v>50</v>
      </c>
      <c r="B91" s="1">
        <v>125</v>
      </c>
      <c r="C91" s="1">
        <v>282</v>
      </c>
      <c r="D91" s="1">
        <f t="shared" si="26"/>
        <v>5.5952380952380958</v>
      </c>
      <c r="E91" s="1">
        <v>262</v>
      </c>
      <c r="F91" s="1">
        <f t="shared" si="21"/>
        <v>5.1984126984126986</v>
      </c>
      <c r="G91" s="1">
        <v>272</v>
      </c>
      <c r="H91" s="1">
        <f t="shared" si="27"/>
        <v>5.3968253968253972</v>
      </c>
      <c r="I91" s="1">
        <v>164</v>
      </c>
      <c r="J91" s="1">
        <f t="shared" si="28"/>
        <v>3.253968253968254</v>
      </c>
      <c r="K91" s="1">
        <f t="shared" ca="1" si="22"/>
        <v>162</v>
      </c>
      <c r="L91" s="1">
        <f t="shared" ca="1" si="23"/>
        <v>3.2142857142857144</v>
      </c>
      <c r="M91" s="1">
        <f t="shared" ca="1" si="24"/>
        <v>164</v>
      </c>
      <c r="N91" s="1">
        <f t="shared" ca="1" si="25"/>
        <v>3.253968253968254</v>
      </c>
    </row>
    <row r="92" spans="1:14" x14ac:dyDescent="0.25">
      <c r="A92" s="1">
        <v>60</v>
      </c>
      <c r="B92" s="1">
        <v>125</v>
      </c>
      <c r="C92" s="1">
        <v>334</v>
      </c>
      <c r="D92" s="1">
        <f t="shared" si="26"/>
        <v>6.6269841269841274</v>
      </c>
      <c r="E92" s="1">
        <v>318</v>
      </c>
      <c r="F92" s="1">
        <f t="shared" si="21"/>
        <v>6.3095238095238093</v>
      </c>
      <c r="G92" s="1">
        <v>334</v>
      </c>
      <c r="H92" s="1">
        <f t="shared" si="27"/>
        <v>6.6269841269841274</v>
      </c>
      <c r="I92" s="1">
        <v>194</v>
      </c>
      <c r="J92" s="1">
        <f t="shared" si="28"/>
        <v>3.8492063492063493</v>
      </c>
      <c r="K92" s="1">
        <f t="shared" ca="1" si="22"/>
        <v>195</v>
      </c>
      <c r="L92" s="1">
        <f t="shared" ca="1" si="23"/>
        <v>3.8690476190476191</v>
      </c>
      <c r="M92" s="1">
        <f t="shared" ca="1" si="24"/>
        <v>197</v>
      </c>
      <c r="N92" s="1">
        <f t="shared" ca="1" si="25"/>
        <v>3.9087301587301591</v>
      </c>
    </row>
    <row r="94" spans="1:14" x14ac:dyDescent="0.25">
      <c r="A94" s="17" t="s">
        <v>26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8"/>
    </row>
    <row r="95" spans="1:14" x14ac:dyDescent="0.25">
      <c r="A95" s="1" t="s">
        <v>0</v>
      </c>
      <c r="B95" s="1" t="s">
        <v>12</v>
      </c>
      <c r="C95" s="1" t="s">
        <v>4</v>
      </c>
      <c r="D95" s="1" t="s">
        <v>14</v>
      </c>
      <c r="E95" s="1" t="s">
        <v>5</v>
      </c>
      <c r="F95" s="1" t="s">
        <v>15</v>
      </c>
      <c r="G95" s="1" t="s">
        <v>6</v>
      </c>
      <c r="H95" s="1" t="s">
        <v>16</v>
      </c>
      <c r="I95" s="1" t="s">
        <v>7</v>
      </c>
      <c r="J95" s="1" t="s">
        <v>17</v>
      </c>
      <c r="K95" s="1" t="s">
        <v>9</v>
      </c>
      <c r="L95" s="1" t="s">
        <v>18</v>
      </c>
      <c r="M95" s="1" t="s">
        <v>8</v>
      </c>
      <c r="N95" s="1" t="s">
        <v>17</v>
      </c>
    </row>
    <row r="96" spans="1:14" x14ac:dyDescent="0.25">
      <c r="A96" s="1">
        <v>10</v>
      </c>
      <c r="B96" s="1">
        <v>200</v>
      </c>
      <c r="C96" s="1">
        <v>64</v>
      </c>
      <c r="D96" s="1">
        <f>C96/$B$78</f>
        <v>1.2698412698412698</v>
      </c>
      <c r="E96" s="1">
        <v>60</v>
      </c>
      <c r="F96" s="1">
        <f t="shared" ref="F96:F101" si="29">E96/$B$78</f>
        <v>1.1904761904761905</v>
      </c>
      <c r="G96" s="1">
        <v>62</v>
      </c>
      <c r="H96" s="1">
        <f>G96/$B$78</f>
        <v>1.2301587301587302</v>
      </c>
      <c r="I96" s="1">
        <v>32</v>
      </c>
      <c r="J96" s="1">
        <f>I96/$B$78</f>
        <v>0.63492063492063489</v>
      </c>
      <c r="K96" s="1">
        <f t="shared" ref="K96:K101" ca="1" si="30">I96+RANDBETWEEN(-2,2)</f>
        <v>34</v>
      </c>
      <c r="L96" s="1">
        <f t="shared" ref="L96:L101" ca="1" si="31">K96/$B$78</f>
        <v>0.67460317460317465</v>
      </c>
      <c r="M96" s="1">
        <f t="shared" ref="M96:M101" ca="1" si="32">K96+RANDBETWEEN(-2,2)</f>
        <v>35</v>
      </c>
      <c r="N96" s="1">
        <f t="shared" ref="N96:N101" ca="1" si="33">M96/$B$78</f>
        <v>0.69444444444444442</v>
      </c>
    </row>
    <row r="97" spans="1:14" x14ac:dyDescent="0.25">
      <c r="A97" s="1">
        <v>20</v>
      </c>
      <c r="B97" s="1">
        <v>200</v>
      </c>
      <c r="C97" s="1">
        <v>122</v>
      </c>
      <c r="D97" s="1">
        <f t="shared" ref="D97:D101" si="34">C97/$B$78</f>
        <v>2.4206349206349209</v>
      </c>
      <c r="E97" s="1">
        <v>118</v>
      </c>
      <c r="F97" s="1">
        <f t="shared" si="29"/>
        <v>2.3412698412698414</v>
      </c>
      <c r="G97" s="1">
        <v>120</v>
      </c>
      <c r="H97" s="1">
        <f t="shared" ref="H97:H101" si="35">G97/$B$78</f>
        <v>2.3809523809523809</v>
      </c>
      <c r="I97" s="1">
        <v>62</v>
      </c>
      <c r="J97" s="1">
        <f t="shared" ref="J97:J101" si="36">I97/$B$78</f>
        <v>1.2301587301587302</v>
      </c>
      <c r="K97" s="1">
        <f t="shared" ca="1" si="30"/>
        <v>63</v>
      </c>
      <c r="L97" s="1">
        <f t="shared" ca="1" si="31"/>
        <v>1.25</v>
      </c>
      <c r="M97" s="1">
        <f t="shared" ca="1" si="32"/>
        <v>63</v>
      </c>
      <c r="N97" s="1">
        <f t="shared" ca="1" si="33"/>
        <v>1.25</v>
      </c>
    </row>
    <row r="98" spans="1:14" x14ac:dyDescent="0.25">
      <c r="A98" s="1">
        <v>30</v>
      </c>
      <c r="B98" s="1">
        <v>200</v>
      </c>
      <c r="C98" s="1">
        <v>178</v>
      </c>
      <c r="D98" s="1">
        <f t="shared" si="34"/>
        <v>3.5317460317460316</v>
      </c>
      <c r="E98" s="1">
        <v>172</v>
      </c>
      <c r="F98" s="1">
        <f t="shared" si="29"/>
        <v>3.412698412698413</v>
      </c>
      <c r="G98" s="1">
        <v>178</v>
      </c>
      <c r="H98" s="1">
        <f t="shared" si="35"/>
        <v>3.5317460317460316</v>
      </c>
      <c r="I98" s="1">
        <v>96</v>
      </c>
      <c r="J98" s="1">
        <f t="shared" si="36"/>
        <v>1.9047619047619049</v>
      </c>
      <c r="K98" s="1">
        <f t="shared" ca="1" si="30"/>
        <v>96</v>
      </c>
      <c r="L98" s="1">
        <f t="shared" ca="1" si="31"/>
        <v>1.9047619047619049</v>
      </c>
      <c r="M98" s="1">
        <f t="shared" ca="1" si="32"/>
        <v>96</v>
      </c>
      <c r="N98" s="1">
        <f t="shared" ca="1" si="33"/>
        <v>1.9047619047619049</v>
      </c>
    </row>
    <row r="99" spans="1:14" x14ac:dyDescent="0.25">
      <c r="A99" s="1">
        <v>40</v>
      </c>
      <c r="B99" s="1">
        <v>200</v>
      </c>
      <c r="C99" s="1">
        <v>236</v>
      </c>
      <c r="D99" s="1">
        <f t="shared" si="34"/>
        <v>4.6825396825396828</v>
      </c>
      <c r="E99" s="1">
        <v>234</v>
      </c>
      <c r="F99" s="1">
        <f t="shared" si="29"/>
        <v>4.6428571428571432</v>
      </c>
      <c r="G99" s="1">
        <v>236</v>
      </c>
      <c r="H99" s="1">
        <f t="shared" si="35"/>
        <v>4.6825396825396828</v>
      </c>
      <c r="I99" s="1">
        <v>132</v>
      </c>
      <c r="J99" s="1">
        <f t="shared" si="36"/>
        <v>2.6190476190476191</v>
      </c>
      <c r="K99" s="1">
        <f t="shared" ca="1" si="30"/>
        <v>130</v>
      </c>
      <c r="L99" s="1">
        <f t="shared" ca="1" si="31"/>
        <v>2.5793650793650795</v>
      </c>
      <c r="M99" s="1">
        <f t="shared" ca="1" si="32"/>
        <v>129</v>
      </c>
      <c r="N99" s="1">
        <f t="shared" ca="1" si="33"/>
        <v>2.5595238095238098</v>
      </c>
    </row>
    <row r="100" spans="1:14" x14ac:dyDescent="0.25">
      <c r="A100" s="1">
        <v>50</v>
      </c>
      <c r="B100" s="1">
        <v>200</v>
      </c>
      <c r="C100" s="1">
        <v>300</v>
      </c>
      <c r="D100" s="1">
        <f t="shared" si="34"/>
        <v>5.9523809523809526</v>
      </c>
      <c r="E100" s="1">
        <v>294</v>
      </c>
      <c r="F100" s="1">
        <f t="shared" si="29"/>
        <v>5.8333333333333339</v>
      </c>
      <c r="G100" s="1">
        <v>296</v>
      </c>
      <c r="H100" s="1">
        <f t="shared" si="35"/>
        <v>5.8730158730158735</v>
      </c>
      <c r="I100" s="1">
        <v>168</v>
      </c>
      <c r="J100" s="1">
        <f t="shared" si="36"/>
        <v>3.3333333333333335</v>
      </c>
      <c r="K100" s="1">
        <f t="shared" ca="1" si="30"/>
        <v>170</v>
      </c>
      <c r="L100" s="1">
        <f t="shared" ca="1" si="31"/>
        <v>3.373015873015873</v>
      </c>
      <c r="M100" s="1">
        <f t="shared" ca="1" si="32"/>
        <v>168</v>
      </c>
      <c r="N100" s="1">
        <f t="shared" ca="1" si="33"/>
        <v>3.3333333333333335</v>
      </c>
    </row>
    <row r="101" spans="1:14" x14ac:dyDescent="0.25">
      <c r="A101" s="2">
        <v>60</v>
      </c>
      <c r="B101" s="1">
        <v>200</v>
      </c>
      <c r="C101" s="2">
        <v>366</v>
      </c>
      <c r="D101" s="2">
        <f t="shared" si="34"/>
        <v>7.2619047619047619</v>
      </c>
      <c r="E101" s="1">
        <v>360</v>
      </c>
      <c r="F101" s="2">
        <f t="shared" si="29"/>
        <v>7.1428571428571432</v>
      </c>
      <c r="G101" s="2">
        <v>356</v>
      </c>
      <c r="H101" s="1">
        <f t="shared" si="35"/>
        <v>7.0634920634920633</v>
      </c>
      <c r="I101" s="1">
        <v>208</v>
      </c>
      <c r="J101" s="1">
        <f t="shared" si="36"/>
        <v>4.1269841269841274</v>
      </c>
      <c r="K101" s="1">
        <f t="shared" ca="1" si="30"/>
        <v>208</v>
      </c>
      <c r="L101" s="1">
        <f t="shared" ca="1" si="31"/>
        <v>4.1269841269841274</v>
      </c>
      <c r="M101" s="1">
        <f t="shared" ca="1" si="32"/>
        <v>207</v>
      </c>
      <c r="N101" s="1">
        <f t="shared" ca="1" si="33"/>
        <v>4.1071428571428577</v>
      </c>
    </row>
    <row r="102" spans="1:14" x14ac:dyDescent="0.25">
      <c r="A102" s="3"/>
      <c r="B102" s="3"/>
      <c r="C102" s="3"/>
      <c r="D102" s="3"/>
      <c r="F102" s="3"/>
      <c r="G102" s="3"/>
    </row>
  </sheetData>
  <mergeCells count="8">
    <mergeCell ref="A1:J1"/>
    <mergeCell ref="A94:N94"/>
    <mergeCell ref="A46:D46"/>
    <mergeCell ref="A76:N76"/>
    <mergeCell ref="A85:N85"/>
    <mergeCell ref="A16:E16"/>
    <mergeCell ref="A31:E31"/>
    <mergeCell ref="A61:F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ED05-5F2C-4B97-9224-577A1DAFBDDE}">
  <dimension ref="A1:G71"/>
  <sheetViews>
    <sheetView workbookViewId="0">
      <selection activeCell="K10" sqref="K10"/>
    </sheetView>
  </sheetViews>
  <sheetFormatPr baseColWidth="10" defaultRowHeight="15" x14ac:dyDescent="0.25"/>
  <cols>
    <col min="1" max="1" width="25.42578125" bestFit="1" customWidth="1"/>
    <col min="3" max="3" width="12.7109375" bestFit="1" customWidth="1"/>
    <col min="5" max="6" width="12.85546875" bestFit="1" customWidth="1"/>
  </cols>
  <sheetData>
    <row r="1" spans="1:7" x14ac:dyDescent="0.25">
      <c r="A1" s="5" t="s">
        <v>31</v>
      </c>
    </row>
    <row r="2" spans="1:7" x14ac:dyDescent="0.25">
      <c r="A2" t="s">
        <v>32</v>
      </c>
      <c r="B2">
        <v>10</v>
      </c>
    </row>
    <row r="3" spans="1:7" x14ac:dyDescent="0.25">
      <c r="A3" t="s">
        <v>33</v>
      </c>
      <c r="B3">
        <f>B5-B4</f>
        <v>1.5</v>
      </c>
    </row>
    <row r="4" spans="1:7" x14ac:dyDescent="0.25">
      <c r="A4" t="s">
        <v>34</v>
      </c>
      <c r="B4">
        <v>19</v>
      </c>
    </row>
    <row r="5" spans="1:7" x14ac:dyDescent="0.25">
      <c r="A5" t="s">
        <v>35</v>
      </c>
      <c r="B5">
        <v>20.5</v>
      </c>
    </row>
    <row r="6" spans="1:7" x14ac:dyDescent="0.25">
      <c r="A6" t="s">
        <v>36</v>
      </c>
      <c r="B6" s="6">
        <f>B8-B7</f>
        <v>8.6342592592592027E-3</v>
      </c>
    </row>
    <row r="7" spans="1:7" x14ac:dyDescent="0.25">
      <c r="A7" t="s">
        <v>37</v>
      </c>
      <c r="B7" s="6">
        <v>0.6915162037037037</v>
      </c>
    </row>
    <row r="8" spans="1:7" x14ac:dyDescent="0.25">
      <c r="A8" t="s">
        <v>38</v>
      </c>
      <c r="B8" s="6">
        <v>0.70015046296296291</v>
      </c>
    </row>
    <row r="9" spans="1:7" x14ac:dyDescent="0.25">
      <c r="B9" s="7"/>
      <c r="C9" s="7"/>
      <c r="D9" s="7"/>
      <c r="E9" s="8" t="s">
        <v>39</v>
      </c>
      <c r="F9" s="9"/>
      <c r="G9" s="10"/>
    </row>
    <row r="10" spans="1:7" x14ac:dyDescent="0.25">
      <c r="A10" s="11" t="s">
        <v>40</v>
      </c>
      <c r="B10" s="11" t="s">
        <v>41</v>
      </c>
      <c r="C10" s="11" t="s">
        <v>42</v>
      </c>
      <c r="D10" s="11" t="s">
        <v>43</v>
      </c>
      <c r="E10" s="12" t="s">
        <v>44</v>
      </c>
      <c r="F10" s="11" t="s">
        <v>45</v>
      </c>
      <c r="G10" s="11" t="s">
        <v>46</v>
      </c>
    </row>
    <row r="11" spans="1:7" x14ac:dyDescent="0.25">
      <c r="A11" s="1">
        <v>0</v>
      </c>
      <c r="B11" s="13">
        <v>0</v>
      </c>
      <c r="C11" s="13">
        <v>0</v>
      </c>
      <c r="D11" s="13">
        <v>0</v>
      </c>
      <c r="E11" s="14">
        <f>C11*D11</f>
        <v>0</v>
      </c>
      <c r="F11" s="13">
        <f>D11^2*$B$2</f>
        <v>0</v>
      </c>
      <c r="G11" s="13">
        <f>C11^2/$B$2</f>
        <v>0</v>
      </c>
    </row>
    <row r="12" spans="1:7" x14ac:dyDescent="0.25">
      <c r="A12" s="1">
        <v>50</v>
      </c>
      <c r="B12" s="13">
        <v>0.08</v>
      </c>
      <c r="C12" s="13">
        <v>0.56999999999999995</v>
      </c>
      <c r="D12" s="13">
        <v>0.05</v>
      </c>
      <c r="E12" s="14">
        <f t="shared" ref="E12:E23" si="0">C12*D12</f>
        <v>2.8499999999999998E-2</v>
      </c>
      <c r="F12" s="13">
        <f t="shared" ref="F12:F23" si="1">D12^2*$B$2</f>
        <v>2.5000000000000005E-2</v>
      </c>
      <c r="G12" s="13">
        <f t="shared" ref="G12:G23" si="2">C12^2/$B$2</f>
        <v>3.2489999999999998E-2</v>
      </c>
    </row>
    <row r="13" spans="1:7" x14ac:dyDescent="0.25">
      <c r="A13" s="1">
        <v>100</v>
      </c>
      <c r="B13" s="13">
        <v>0.16</v>
      </c>
      <c r="C13" s="13">
        <v>1.9</v>
      </c>
      <c r="D13" s="13">
        <v>0.18</v>
      </c>
      <c r="E13" s="14">
        <f t="shared" si="0"/>
        <v>0.34199999999999997</v>
      </c>
      <c r="F13" s="13">
        <f t="shared" si="1"/>
        <v>0.32399999999999995</v>
      </c>
      <c r="G13" s="13">
        <f t="shared" si="2"/>
        <v>0.36099999999999999</v>
      </c>
    </row>
    <row r="14" spans="1:7" x14ac:dyDescent="0.25">
      <c r="A14" s="1">
        <v>150</v>
      </c>
      <c r="B14" s="13">
        <v>0.22</v>
      </c>
      <c r="C14" s="13">
        <v>3.22</v>
      </c>
      <c r="D14" s="13">
        <v>0.31</v>
      </c>
      <c r="E14" s="14">
        <f t="shared" si="0"/>
        <v>0.99820000000000009</v>
      </c>
      <c r="F14" s="13">
        <f t="shared" si="1"/>
        <v>0.96100000000000008</v>
      </c>
      <c r="G14" s="13">
        <f t="shared" si="2"/>
        <v>1.0368400000000002</v>
      </c>
    </row>
    <row r="15" spans="1:7" x14ac:dyDescent="0.25">
      <c r="A15" s="1">
        <v>200</v>
      </c>
      <c r="B15" s="13">
        <v>0.31</v>
      </c>
      <c r="C15" s="13">
        <v>4.6100000000000003</v>
      </c>
      <c r="D15" s="13">
        <v>0.44</v>
      </c>
      <c r="E15" s="14">
        <f t="shared" si="0"/>
        <v>2.0284</v>
      </c>
      <c r="F15" s="13">
        <f t="shared" si="1"/>
        <v>1.9359999999999999</v>
      </c>
      <c r="G15" s="13">
        <f t="shared" si="2"/>
        <v>2.12521</v>
      </c>
    </row>
    <row r="16" spans="1:7" x14ac:dyDescent="0.25">
      <c r="A16" s="1">
        <v>250</v>
      </c>
      <c r="B16" s="13">
        <v>0.38</v>
      </c>
      <c r="C16" s="13">
        <v>5.94</v>
      </c>
      <c r="D16" s="13">
        <v>0.56999999999999995</v>
      </c>
      <c r="E16" s="14">
        <f t="shared" si="0"/>
        <v>3.3858000000000001</v>
      </c>
      <c r="F16" s="13">
        <f t="shared" si="1"/>
        <v>3.2489999999999997</v>
      </c>
      <c r="G16" s="13">
        <f t="shared" si="2"/>
        <v>3.5283600000000006</v>
      </c>
    </row>
    <row r="17" spans="1:7" x14ac:dyDescent="0.25">
      <c r="A17" s="1">
        <v>300</v>
      </c>
      <c r="B17" s="13">
        <v>0.45</v>
      </c>
      <c r="C17" s="13">
        <v>7.25</v>
      </c>
      <c r="D17" s="13">
        <v>0.7</v>
      </c>
      <c r="E17" s="14">
        <f t="shared" si="0"/>
        <v>5.0749999999999993</v>
      </c>
      <c r="F17" s="13">
        <f t="shared" si="1"/>
        <v>4.8999999999999995</v>
      </c>
      <c r="G17" s="13">
        <f t="shared" si="2"/>
        <v>5.2562499999999996</v>
      </c>
    </row>
    <row r="18" spans="1:7" x14ac:dyDescent="0.25">
      <c r="A18" s="1">
        <v>350</v>
      </c>
      <c r="B18" s="13">
        <v>0.52</v>
      </c>
      <c r="C18" s="13">
        <v>8.58</v>
      </c>
      <c r="D18" s="13">
        <v>0.8</v>
      </c>
      <c r="E18" s="14">
        <f t="shared" si="0"/>
        <v>6.8640000000000008</v>
      </c>
      <c r="F18" s="13">
        <f t="shared" si="1"/>
        <v>6.4000000000000012</v>
      </c>
      <c r="G18" s="13">
        <f t="shared" si="2"/>
        <v>7.3616399999999995</v>
      </c>
    </row>
    <row r="19" spans="1:7" x14ac:dyDescent="0.25">
      <c r="A19" s="1">
        <v>400</v>
      </c>
      <c r="B19" s="13">
        <v>0.57999999999999996</v>
      </c>
      <c r="C19" s="13">
        <v>9.8800000000000008</v>
      </c>
      <c r="D19" s="13">
        <v>0.96</v>
      </c>
      <c r="E19" s="14">
        <f t="shared" si="0"/>
        <v>9.4847999999999999</v>
      </c>
      <c r="F19" s="13">
        <f t="shared" si="1"/>
        <v>9.2159999999999993</v>
      </c>
      <c r="G19" s="13">
        <f t="shared" si="2"/>
        <v>9.7614400000000021</v>
      </c>
    </row>
    <row r="20" spans="1:7" x14ac:dyDescent="0.25">
      <c r="A20" s="1">
        <v>450</v>
      </c>
      <c r="B20" s="13">
        <v>0.64</v>
      </c>
      <c r="C20" s="13">
        <v>11.19</v>
      </c>
      <c r="D20" s="13">
        <v>1.08</v>
      </c>
      <c r="E20" s="14">
        <f t="shared" si="0"/>
        <v>12.0852</v>
      </c>
      <c r="F20" s="13">
        <f t="shared" si="1"/>
        <v>11.664000000000001</v>
      </c>
      <c r="G20" s="13">
        <f t="shared" si="2"/>
        <v>12.521609999999999</v>
      </c>
    </row>
    <row r="21" spans="1:7" x14ac:dyDescent="0.25">
      <c r="A21" s="1">
        <v>500</v>
      </c>
      <c r="B21" s="13">
        <v>0.7</v>
      </c>
      <c r="C21" s="13">
        <v>12.45</v>
      </c>
      <c r="D21" s="13">
        <v>1.2</v>
      </c>
      <c r="E21" s="14">
        <f t="shared" si="0"/>
        <v>14.939999999999998</v>
      </c>
      <c r="F21" s="13">
        <f t="shared" si="1"/>
        <v>14.399999999999999</v>
      </c>
      <c r="G21" s="13">
        <f t="shared" si="2"/>
        <v>15.500249999999998</v>
      </c>
    </row>
    <row r="22" spans="1:7" x14ac:dyDescent="0.25">
      <c r="A22" s="1">
        <v>550</v>
      </c>
      <c r="B22" s="13">
        <v>0.75</v>
      </c>
      <c r="C22" s="13">
        <v>13.71</v>
      </c>
      <c r="D22" s="13">
        <v>1.33</v>
      </c>
      <c r="E22" s="14">
        <f t="shared" si="0"/>
        <v>18.234300000000001</v>
      </c>
      <c r="F22" s="13">
        <f t="shared" si="1"/>
        <v>17.689</v>
      </c>
      <c r="G22" s="13">
        <f t="shared" si="2"/>
        <v>18.796410000000002</v>
      </c>
    </row>
    <row r="23" spans="1:7" x14ac:dyDescent="0.25">
      <c r="A23" s="1">
        <v>600</v>
      </c>
      <c r="B23" s="13">
        <v>0.79</v>
      </c>
      <c r="C23" s="13">
        <v>14.96</v>
      </c>
      <c r="D23" s="13">
        <v>1.45</v>
      </c>
      <c r="E23" s="14">
        <f t="shared" si="0"/>
        <v>21.692</v>
      </c>
      <c r="F23" s="13">
        <f t="shared" si="1"/>
        <v>21.024999999999999</v>
      </c>
      <c r="G23" s="13">
        <f t="shared" si="2"/>
        <v>22.380160000000004</v>
      </c>
    </row>
    <row r="25" spans="1:7" x14ac:dyDescent="0.25">
      <c r="A25" s="5" t="s">
        <v>47</v>
      </c>
    </row>
    <row r="26" spans="1:7" x14ac:dyDescent="0.25">
      <c r="A26" t="s">
        <v>32</v>
      </c>
      <c r="B26">
        <v>7.5</v>
      </c>
    </row>
    <row r="27" spans="1:7" x14ac:dyDescent="0.25">
      <c r="A27" t="s">
        <v>33</v>
      </c>
      <c r="B27">
        <f>B29-B28</f>
        <v>2.6000000000000014</v>
      </c>
    </row>
    <row r="28" spans="1:7" x14ac:dyDescent="0.25">
      <c r="A28" t="s">
        <v>34</v>
      </c>
      <c r="B28">
        <v>21.2</v>
      </c>
    </row>
    <row r="29" spans="1:7" x14ac:dyDescent="0.25">
      <c r="A29" t="s">
        <v>35</v>
      </c>
      <c r="B29">
        <v>23.8</v>
      </c>
    </row>
    <row r="30" spans="1:7" x14ac:dyDescent="0.25">
      <c r="A30" t="s">
        <v>36</v>
      </c>
      <c r="B30" s="6">
        <f>B32-B31</f>
        <v>9.3518518518519445E-3</v>
      </c>
    </row>
    <row r="31" spans="1:7" x14ac:dyDescent="0.25">
      <c r="A31" t="s">
        <v>37</v>
      </c>
      <c r="B31" s="6">
        <f>B8</f>
        <v>0.70015046296296291</v>
      </c>
    </row>
    <row r="32" spans="1:7" x14ac:dyDescent="0.25">
      <c r="A32" t="s">
        <v>38</v>
      </c>
      <c r="B32" s="6">
        <v>0.70950231481481485</v>
      </c>
    </row>
    <row r="33" spans="1:7" x14ac:dyDescent="0.25">
      <c r="B33" s="7"/>
      <c r="C33" s="7"/>
      <c r="D33" s="7"/>
      <c r="E33" s="8" t="s">
        <v>39</v>
      </c>
      <c r="F33" s="9"/>
      <c r="G33" s="10"/>
    </row>
    <row r="34" spans="1:7" x14ac:dyDescent="0.25">
      <c r="A34" s="11" t="s">
        <v>40</v>
      </c>
      <c r="B34" s="11" t="s">
        <v>41</v>
      </c>
      <c r="C34" s="11" t="s">
        <v>42</v>
      </c>
      <c r="D34" s="11" t="s">
        <v>43</v>
      </c>
      <c r="E34" s="12" t="s">
        <v>44</v>
      </c>
      <c r="F34" s="11" t="s">
        <v>45</v>
      </c>
      <c r="G34" s="11" t="s">
        <v>46</v>
      </c>
    </row>
    <row r="35" spans="1:7" x14ac:dyDescent="0.25">
      <c r="A35" s="1">
        <v>0</v>
      </c>
      <c r="B35" s="1">
        <v>0</v>
      </c>
      <c r="C35" s="1">
        <v>0</v>
      </c>
      <c r="D35" s="1">
        <v>0</v>
      </c>
      <c r="E35" s="14">
        <f>C35*D35</f>
        <v>0</v>
      </c>
      <c r="F35" s="13">
        <f>D35^2*$B$26</f>
        <v>0</v>
      </c>
      <c r="G35" s="13">
        <f>C35^2/$B$26</f>
        <v>0</v>
      </c>
    </row>
    <row r="36" spans="1:7" x14ac:dyDescent="0.25">
      <c r="A36" s="1">
        <v>50</v>
      </c>
      <c r="B36" s="1">
        <v>0.08</v>
      </c>
      <c r="C36" s="1">
        <v>0.5</v>
      </c>
      <c r="D36" s="1">
        <v>0.06</v>
      </c>
      <c r="E36" s="14">
        <f t="shared" ref="E36:E47" si="3">C36*D36</f>
        <v>0.03</v>
      </c>
      <c r="F36" s="13">
        <f t="shared" ref="F36:F47" si="4">D36^2*$B$26</f>
        <v>2.7E-2</v>
      </c>
      <c r="G36" s="13">
        <f t="shared" ref="G36:G47" si="5">C36^2/$B$26</f>
        <v>3.3333333333333333E-2</v>
      </c>
    </row>
    <row r="37" spans="1:7" x14ac:dyDescent="0.25">
      <c r="A37" s="1">
        <v>100</v>
      </c>
      <c r="B37" s="1">
        <v>0.16</v>
      </c>
      <c r="C37" s="1">
        <v>1.64</v>
      </c>
      <c r="D37" s="1">
        <v>0.21</v>
      </c>
      <c r="E37" s="14">
        <f t="shared" si="3"/>
        <v>0.34439999999999998</v>
      </c>
      <c r="F37" s="13">
        <f t="shared" si="4"/>
        <v>0.33074999999999993</v>
      </c>
      <c r="G37" s="13">
        <f t="shared" si="5"/>
        <v>0.35861333333333328</v>
      </c>
    </row>
    <row r="38" spans="1:7" x14ac:dyDescent="0.25">
      <c r="A38" s="1">
        <v>150</v>
      </c>
      <c r="B38" s="1">
        <v>0.25</v>
      </c>
      <c r="C38" s="1">
        <v>2.82</v>
      </c>
      <c r="D38" s="1">
        <v>0.36</v>
      </c>
      <c r="E38" s="14">
        <f t="shared" si="3"/>
        <v>1.0151999999999999</v>
      </c>
      <c r="F38" s="13">
        <f t="shared" si="4"/>
        <v>0.97199999999999998</v>
      </c>
      <c r="G38" s="13">
        <f t="shared" si="5"/>
        <v>1.0603199999999999</v>
      </c>
    </row>
    <row r="39" spans="1:7" x14ac:dyDescent="0.25">
      <c r="A39" s="1">
        <v>200</v>
      </c>
      <c r="B39" s="1">
        <v>0.33</v>
      </c>
      <c r="C39" s="1">
        <v>4</v>
      </c>
      <c r="D39" s="1">
        <v>0.52</v>
      </c>
      <c r="E39" s="14">
        <f t="shared" si="3"/>
        <v>2.08</v>
      </c>
      <c r="F39" s="13">
        <f t="shared" si="4"/>
        <v>2.028</v>
      </c>
      <c r="G39" s="13">
        <f t="shared" si="5"/>
        <v>2.1333333333333333</v>
      </c>
    </row>
    <row r="40" spans="1:7" x14ac:dyDescent="0.25">
      <c r="A40" s="1">
        <v>250</v>
      </c>
      <c r="B40" s="1">
        <v>0.39</v>
      </c>
      <c r="C40" s="1">
        <v>5.15</v>
      </c>
      <c r="D40" s="1">
        <v>0.67</v>
      </c>
      <c r="E40" s="14">
        <f t="shared" si="3"/>
        <v>3.4505000000000003</v>
      </c>
      <c r="F40" s="13">
        <f t="shared" si="4"/>
        <v>3.3667500000000006</v>
      </c>
      <c r="G40" s="13">
        <f t="shared" si="5"/>
        <v>3.5363333333333338</v>
      </c>
    </row>
    <row r="41" spans="1:7" x14ac:dyDescent="0.25">
      <c r="A41" s="1">
        <v>300</v>
      </c>
      <c r="B41" s="1">
        <v>0.47</v>
      </c>
      <c r="C41" s="1">
        <v>6.3</v>
      </c>
      <c r="D41" s="1">
        <v>0.82</v>
      </c>
      <c r="E41" s="14">
        <f t="shared" si="3"/>
        <v>5.1659999999999995</v>
      </c>
      <c r="F41" s="13">
        <f t="shared" si="4"/>
        <v>5.0429999999999993</v>
      </c>
      <c r="G41" s="13">
        <f t="shared" si="5"/>
        <v>5.2919999999999998</v>
      </c>
    </row>
    <row r="42" spans="1:7" x14ac:dyDescent="0.25">
      <c r="A42" s="1">
        <v>350</v>
      </c>
      <c r="B42" s="1">
        <v>0.55000000000000004</v>
      </c>
      <c r="C42" s="1">
        <v>7.44</v>
      </c>
      <c r="D42" s="1">
        <v>0.97</v>
      </c>
      <c r="E42" s="14">
        <f t="shared" si="3"/>
        <v>7.2168000000000001</v>
      </c>
      <c r="F42" s="13">
        <f t="shared" si="4"/>
        <v>7.0567500000000001</v>
      </c>
      <c r="G42" s="13">
        <f t="shared" si="5"/>
        <v>7.3804800000000013</v>
      </c>
    </row>
    <row r="43" spans="1:7" x14ac:dyDescent="0.25">
      <c r="A43" s="1">
        <v>400</v>
      </c>
      <c r="B43" s="1">
        <v>0.61</v>
      </c>
      <c r="C43" s="1">
        <v>8.57</v>
      </c>
      <c r="D43" s="1">
        <v>1.1100000000000001</v>
      </c>
      <c r="E43" s="14">
        <f t="shared" si="3"/>
        <v>9.5127000000000006</v>
      </c>
      <c r="F43" s="13">
        <f t="shared" si="4"/>
        <v>9.240750000000002</v>
      </c>
      <c r="G43" s="13">
        <f t="shared" si="5"/>
        <v>9.7926533333333339</v>
      </c>
    </row>
    <row r="44" spans="1:7" x14ac:dyDescent="0.25">
      <c r="A44" s="1">
        <v>450</v>
      </c>
      <c r="B44" s="1">
        <v>0.68</v>
      </c>
      <c r="C44" s="1">
        <v>9.64</v>
      </c>
      <c r="D44" s="1">
        <v>1.26</v>
      </c>
      <c r="E44" s="14">
        <f t="shared" si="3"/>
        <v>12.146400000000002</v>
      </c>
      <c r="F44" s="13">
        <f t="shared" si="4"/>
        <v>11.907</v>
      </c>
      <c r="G44" s="13">
        <f t="shared" si="5"/>
        <v>12.390613333333334</v>
      </c>
    </row>
    <row r="45" spans="1:7" x14ac:dyDescent="0.25">
      <c r="A45" s="1">
        <v>500</v>
      </c>
      <c r="B45" s="1">
        <v>0.75</v>
      </c>
      <c r="C45" s="1">
        <v>10.73</v>
      </c>
      <c r="D45" s="1">
        <v>1.4</v>
      </c>
      <c r="E45" s="14">
        <f t="shared" si="3"/>
        <v>15.022</v>
      </c>
      <c r="F45" s="13">
        <f t="shared" si="4"/>
        <v>14.699999999999998</v>
      </c>
      <c r="G45" s="13">
        <f t="shared" si="5"/>
        <v>15.351053333333335</v>
      </c>
    </row>
    <row r="46" spans="1:7" x14ac:dyDescent="0.25">
      <c r="A46" s="1">
        <v>550</v>
      </c>
      <c r="B46" s="1">
        <v>0.83</v>
      </c>
      <c r="C46" s="1">
        <v>11.88</v>
      </c>
      <c r="D46" s="1">
        <v>1.55</v>
      </c>
      <c r="E46" s="14">
        <f t="shared" si="3"/>
        <v>18.414000000000001</v>
      </c>
      <c r="F46" s="13">
        <f t="shared" si="4"/>
        <v>18.018750000000001</v>
      </c>
      <c r="G46" s="13">
        <f t="shared" si="5"/>
        <v>18.817920000000004</v>
      </c>
    </row>
    <row r="47" spans="1:7" x14ac:dyDescent="0.25">
      <c r="A47" s="1">
        <v>600</v>
      </c>
      <c r="B47" s="1">
        <v>0.89</v>
      </c>
      <c r="C47" s="1">
        <v>12.98</v>
      </c>
      <c r="D47" s="1">
        <v>1.69</v>
      </c>
      <c r="E47" s="14">
        <f t="shared" si="3"/>
        <v>21.936199999999999</v>
      </c>
      <c r="F47" s="13">
        <f t="shared" si="4"/>
        <v>21.420749999999998</v>
      </c>
      <c r="G47" s="13">
        <f t="shared" si="5"/>
        <v>22.464053333333332</v>
      </c>
    </row>
    <row r="49" spans="1:7" x14ac:dyDescent="0.25">
      <c r="A49" s="5" t="s">
        <v>48</v>
      </c>
    </row>
    <row r="50" spans="1:7" x14ac:dyDescent="0.25">
      <c r="A50" t="s">
        <v>32</v>
      </c>
      <c r="B50">
        <v>5</v>
      </c>
    </row>
    <row r="51" spans="1:7" x14ac:dyDescent="0.25">
      <c r="A51" t="s">
        <v>33</v>
      </c>
      <c r="B51">
        <f>B53-B52</f>
        <v>2.5999999999999979</v>
      </c>
    </row>
    <row r="52" spans="1:7" x14ac:dyDescent="0.25">
      <c r="A52" t="s">
        <v>34</v>
      </c>
      <c r="B52">
        <v>22.8</v>
      </c>
    </row>
    <row r="53" spans="1:7" x14ac:dyDescent="0.25">
      <c r="A53" t="s">
        <v>35</v>
      </c>
      <c r="B53">
        <v>25.4</v>
      </c>
    </row>
    <row r="54" spans="1:7" x14ac:dyDescent="0.25">
      <c r="A54" t="s">
        <v>36</v>
      </c>
      <c r="B54" s="6"/>
    </row>
    <row r="55" spans="1:7" x14ac:dyDescent="0.25">
      <c r="A55" t="s">
        <v>37</v>
      </c>
      <c r="B55" s="6">
        <v>0.71273148148148147</v>
      </c>
    </row>
    <row r="56" spans="1:7" x14ac:dyDescent="0.25">
      <c r="A56" t="s">
        <v>38</v>
      </c>
      <c r="B56" s="6"/>
    </row>
    <row r="57" spans="1:7" x14ac:dyDescent="0.25">
      <c r="B57" s="7"/>
      <c r="C57" s="7"/>
      <c r="D57" s="7"/>
      <c r="E57" s="8" t="s">
        <v>39</v>
      </c>
      <c r="F57" s="9"/>
      <c r="G57" s="10"/>
    </row>
    <row r="58" spans="1:7" x14ac:dyDescent="0.25">
      <c r="A58" s="11" t="s">
        <v>40</v>
      </c>
      <c r="B58" s="11" t="s">
        <v>41</v>
      </c>
      <c r="C58" s="11" t="s">
        <v>42</v>
      </c>
      <c r="D58" s="11" t="s">
        <v>43</v>
      </c>
      <c r="E58" s="12" t="s">
        <v>44</v>
      </c>
      <c r="F58" s="11" t="s">
        <v>45</v>
      </c>
      <c r="G58" s="11" t="s">
        <v>46</v>
      </c>
    </row>
    <row r="59" spans="1:7" x14ac:dyDescent="0.25">
      <c r="A59" s="1">
        <v>0</v>
      </c>
      <c r="B59" s="1">
        <v>0</v>
      </c>
      <c r="C59" s="1">
        <v>0</v>
      </c>
      <c r="D59" s="1">
        <v>0</v>
      </c>
      <c r="E59" s="14">
        <f>C59*D59</f>
        <v>0</v>
      </c>
      <c r="F59" s="13">
        <f>D59^2*$B$50</f>
        <v>0</v>
      </c>
      <c r="G59" s="13">
        <f>C59^2/$B$50</f>
        <v>0</v>
      </c>
    </row>
    <row r="60" spans="1:7" x14ac:dyDescent="0.25">
      <c r="A60" s="1">
        <v>50</v>
      </c>
      <c r="B60" s="1">
        <v>0.1</v>
      </c>
      <c r="C60" s="1">
        <v>0.4</v>
      </c>
      <c r="D60" s="1">
        <v>0.08</v>
      </c>
      <c r="E60" s="14">
        <f t="shared" ref="E60:E71" si="6">C60*D60</f>
        <v>3.2000000000000001E-2</v>
      </c>
      <c r="F60" s="13">
        <f t="shared" ref="F60:F71" si="7">D60^2*$B$50</f>
        <v>3.2000000000000001E-2</v>
      </c>
      <c r="G60" s="13">
        <f t="shared" ref="G60:G71" si="8">C60^2/$B$50</f>
        <v>3.2000000000000008E-2</v>
      </c>
    </row>
    <row r="61" spans="1:7" x14ac:dyDescent="0.25">
      <c r="A61" s="1">
        <v>100</v>
      </c>
      <c r="B61" s="1">
        <v>0.28000000000000003</v>
      </c>
      <c r="C61" s="1">
        <v>1.34</v>
      </c>
      <c r="D61" s="1">
        <v>0.26</v>
      </c>
      <c r="E61" s="14">
        <f t="shared" si="6"/>
        <v>0.34840000000000004</v>
      </c>
      <c r="F61" s="13">
        <f t="shared" si="7"/>
        <v>0.33800000000000002</v>
      </c>
      <c r="G61" s="13">
        <f t="shared" si="8"/>
        <v>0.35912000000000005</v>
      </c>
    </row>
    <row r="62" spans="1:7" x14ac:dyDescent="0.25">
      <c r="A62" s="1">
        <v>150</v>
      </c>
      <c r="B62" s="1">
        <v>0.28999999999999998</v>
      </c>
      <c r="C62" s="1">
        <v>2.29</v>
      </c>
      <c r="D62" s="1">
        <v>0.45</v>
      </c>
      <c r="E62" s="14">
        <f t="shared" si="6"/>
        <v>1.0305</v>
      </c>
      <c r="F62" s="13">
        <f t="shared" si="7"/>
        <v>1.0125000000000002</v>
      </c>
      <c r="G62" s="13">
        <f t="shared" si="8"/>
        <v>1.0488200000000001</v>
      </c>
    </row>
    <row r="63" spans="1:7" x14ac:dyDescent="0.25">
      <c r="A63" s="1">
        <v>200</v>
      </c>
      <c r="B63" s="1">
        <v>0.38</v>
      </c>
      <c r="C63" s="1">
        <v>3.23</v>
      </c>
      <c r="D63" s="1">
        <v>0.64</v>
      </c>
      <c r="E63" s="14">
        <f t="shared" si="6"/>
        <v>2.0672000000000001</v>
      </c>
      <c r="F63" s="13">
        <f t="shared" si="7"/>
        <v>2.048</v>
      </c>
      <c r="G63" s="13">
        <f t="shared" si="8"/>
        <v>2.0865800000000001</v>
      </c>
    </row>
    <row r="64" spans="1:7" x14ac:dyDescent="0.25">
      <c r="A64" s="1">
        <v>250</v>
      </c>
      <c r="B64" s="1">
        <v>0.48</v>
      </c>
      <c r="C64" s="1">
        <v>4.17</v>
      </c>
      <c r="D64" s="1">
        <v>0.83</v>
      </c>
      <c r="E64" s="14">
        <f t="shared" si="6"/>
        <v>3.4610999999999996</v>
      </c>
      <c r="F64" s="13">
        <f t="shared" si="7"/>
        <v>3.4444999999999997</v>
      </c>
      <c r="G64" s="13">
        <f t="shared" si="8"/>
        <v>3.4777800000000001</v>
      </c>
    </row>
    <row r="65" spans="1:7" x14ac:dyDescent="0.25">
      <c r="A65" s="1">
        <v>300</v>
      </c>
      <c r="B65" s="1">
        <v>0.57999999999999996</v>
      </c>
      <c r="C65" s="1">
        <v>5.1100000000000003</v>
      </c>
      <c r="D65" s="1">
        <v>1.02</v>
      </c>
      <c r="E65" s="14">
        <f t="shared" si="6"/>
        <v>5.2122000000000002</v>
      </c>
      <c r="F65" s="13">
        <f t="shared" si="7"/>
        <v>5.202</v>
      </c>
      <c r="G65" s="13">
        <f t="shared" si="8"/>
        <v>5.2224200000000005</v>
      </c>
    </row>
    <row r="66" spans="1:7" x14ac:dyDescent="0.25">
      <c r="A66" s="1">
        <v>350</v>
      </c>
      <c r="B66" s="1">
        <v>0.66</v>
      </c>
      <c r="C66" s="1">
        <v>6.01</v>
      </c>
      <c r="D66" s="1">
        <v>1.21</v>
      </c>
      <c r="E66" s="14">
        <f t="shared" si="6"/>
        <v>7.2720999999999991</v>
      </c>
      <c r="F66" s="13">
        <f t="shared" si="7"/>
        <v>7.3205</v>
      </c>
      <c r="G66" s="13">
        <f t="shared" si="8"/>
        <v>7.2240200000000003</v>
      </c>
    </row>
    <row r="67" spans="1:7" x14ac:dyDescent="0.25">
      <c r="A67" s="1">
        <v>400</v>
      </c>
      <c r="B67" s="1">
        <v>0.73</v>
      </c>
      <c r="C67" s="1">
        <v>6.84</v>
      </c>
      <c r="D67" s="1">
        <v>1.37</v>
      </c>
      <c r="E67" s="14">
        <f t="shared" si="6"/>
        <v>9.3708000000000009</v>
      </c>
      <c r="F67" s="13">
        <f t="shared" si="7"/>
        <v>9.384500000000001</v>
      </c>
      <c r="G67" s="13">
        <f t="shared" si="8"/>
        <v>9.3571199999999983</v>
      </c>
    </row>
    <row r="68" spans="1:7" x14ac:dyDescent="0.25">
      <c r="A68" s="1">
        <v>450</v>
      </c>
      <c r="B68" s="1">
        <v>0.81</v>
      </c>
      <c r="C68" s="1">
        <v>7.75</v>
      </c>
      <c r="D68" s="1">
        <v>1.56</v>
      </c>
      <c r="E68" s="14">
        <f t="shared" si="6"/>
        <v>12.09</v>
      </c>
      <c r="F68" s="13">
        <f t="shared" si="7"/>
        <v>12.168000000000001</v>
      </c>
      <c r="G68" s="13">
        <f t="shared" si="8"/>
        <v>12.012499999999999</v>
      </c>
    </row>
    <row r="69" spans="1:7" x14ac:dyDescent="0.25">
      <c r="A69" s="1">
        <v>500</v>
      </c>
      <c r="B69" s="1">
        <v>0.89</v>
      </c>
      <c r="C69" s="1">
        <v>8.6</v>
      </c>
      <c r="D69" s="1">
        <v>1.73</v>
      </c>
      <c r="E69" s="14">
        <f t="shared" si="6"/>
        <v>14.878</v>
      </c>
      <c r="F69" s="13">
        <f t="shared" si="7"/>
        <v>14.964500000000001</v>
      </c>
      <c r="G69" s="13">
        <f t="shared" si="8"/>
        <v>14.791999999999998</v>
      </c>
    </row>
    <row r="70" spans="1:7" x14ac:dyDescent="0.25">
      <c r="A70" s="1">
        <v>550</v>
      </c>
      <c r="B70" s="1">
        <v>0.96</v>
      </c>
      <c r="C70" s="1">
        <v>9.4700000000000006</v>
      </c>
      <c r="D70" s="1">
        <v>1.91</v>
      </c>
      <c r="E70" s="14">
        <f t="shared" si="6"/>
        <v>18.087700000000002</v>
      </c>
      <c r="F70" s="13">
        <f t="shared" si="7"/>
        <v>18.240500000000001</v>
      </c>
      <c r="G70" s="13">
        <f t="shared" si="8"/>
        <v>17.93618</v>
      </c>
    </row>
    <row r="71" spans="1:7" x14ac:dyDescent="0.25">
      <c r="A71" s="1">
        <v>600</v>
      </c>
      <c r="B71" s="1">
        <v>1.02</v>
      </c>
      <c r="C71" s="1">
        <v>10.35</v>
      </c>
      <c r="D71" s="1">
        <v>2.08</v>
      </c>
      <c r="E71" s="14">
        <f t="shared" si="6"/>
        <v>21.527999999999999</v>
      </c>
      <c r="F71" s="13">
        <f t="shared" si="7"/>
        <v>21.632000000000001</v>
      </c>
      <c r="G71" s="13">
        <f t="shared" si="8"/>
        <v>21.424499999999998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E164-0652-42B5-9F02-8742BD377AF5}">
  <dimension ref="A1:D15"/>
  <sheetViews>
    <sheetView workbookViewId="0">
      <selection activeCell="D75" sqref="D75"/>
    </sheetView>
  </sheetViews>
  <sheetFormatPr baseColWidth="10" defaultRowHeight="15" x14ac:dyDescent="0.25"/>
  <cols>
    <col min="1" max="1" width="13.7109375" bestFit="1" customWidth="1"/>
    <col min="2" max="2" width="17.42578125" bestFit="1" customWidth="1"/>
  </cols>
  <sheetData>
    <row r="1" spans="1:4" x14ac:dyDescent="0.25">
      <c r="A1" s="20" t="s">
        <v>40</v>
      </c>
      <c r="B1" s="22" t="s">
        <v>49</v>
      </c>
      <c r="C1" s="23"/>
      <c r="D1" s="23"/>
    </row>
    <row r="2" spans="1:4" x14ac:dyDescent="0.25">
      <c r="A2" s="21"/>
      <c r="B2" s="11" t="s">
        <v>50</v>
      </c>
      <c r="C2" s="11" t="s">
        <v>51</v>
      </c>
      <c r="D2" s="11" t="s">
        <v>52</v>
      </c>
    </row>
    <row r="3" spans="1:4" x14ac:dyDescent="0.25">
      <c r="A3" s="1">
        <v>0</v>
      </c>
      <c r="B3" s="13">
        <f>[1]Mediciones!E11</f>
        <v>0</v>
      </c>
      <c r="C3" s="13">
        <f>[1]Mediciones!E35</f>
        <v>0</v>
      </c>
      <c r="D3" s="13">
        <f>[1]Mediciones!E59</f>
        <v>0</v>
      </c>
    </row>
    <row r="4" spans="1:4" x14ac:dyDescent="0.25">
      <c r="A4" s="1">
        <v>50</v>
      </c>
      <c r="B4" s="13">
        <f>[1]Mediciones!E12</f>
        <v>2.8499999999999998E-2</v>
      </c>
      <c r="C4" s="13">
        <f>[1]Mediciones!E36</f>
        <v>0.03</v>
      </c>
      <c r="D4" s="13">
        <f>[1]Mediciones!E60</f>
        <v>3.2000000000000001E-2</v>
      </c>
    </row>
    <row r="5" spans="1:4" x14ac:dyDescent="0.25">
      <c r="A5" s="1">
        <v>100</v>
      </c>
      <c r="B5" s="13">
        <f>[1]Mediciones!E13</f>
        <v>0.34199999999999997</v>
      </c>
      <c r="C5" s="13">
        <f>[1]Mediciones!E37</f>
        <v>0.34439999999999998</v>
      </c>
      <c r="D5" s="13">
        <f>[1]Mediciones!E61</f>
        <v>0.34840000000000004</v>
      </c>
    </row>
    <row r="6" spans="1:4" x14ac:dyDescent="0.25">
      <c r="A6" s="1">
        <v>150</v>
      </c>
      <c r="B6" s="13">
        <f>[1]Mediciones!E14</f>
        <v>0.99820000000000009</v>
      </c>
      <c r="C6" s="13">
        <f>[1]Mediciones!E38</f>
        <v>1.0151999999999999</v>
      </c>
      <c r="D6" s="13">
        <f>[1]Mediciones!E62</f>
        <v>1.0305</v>
      </c>
    </row>
    <row r="7" spans="1:4" x14ac:dyDescent="0.25">
      <c r="A7" s="1">
        <v>200</v>
      </c>
      <c r="B7" s="13">
        <f>[1]Mediciones!E15</f>
        <v>2.0284</v>
      </c>
      <c r="C7" s="13">
        <f>[1]Mediciones!E39</f>
        <v>2.08</v>
      </c>
      <c r="D7" s="13">
        <f>[1]Mediciones!E63</f>
        <v>2.0672000000000001</v>
      </c>
    </row>
    <row r="8" spans="1:4" x14ac:dyDescent="0.25">
      <c r="A8" s="1">
        <v>250</v>
      </c>
      <c r="B8" s="13">
        <f>[1]Mediciones!E16</f>
        <v>3.3858000000000001</v>
      </c>
      <c r="C8" s="13">
        <f>[1]Mediciones!E40</f>
        <v>3.4505000000000003</v>
      </c>
      <c r="D8" s="13">
        <f>[1]Mediciones!E64</f>
        <v>3.4610999999999996</v>
      </c>
    </row>
    <row r="9" spans="1:4" x14ac:dyDescent="0.25">
      <c r="A9" s="1">
        <v>300</v>
      </c>
      <c r="B9" s="13">
        <f>[1]Mediciones!E17</f>
        <v>5.0749999999999993</v>
      </c>
      <c r="C9" s="13">
        <f>[1]Mediciones!E41</f>
        <v>5.1659999999999995</v>
      </c>
      <c r="D9" s="13">
        <f>[1]Mediciones!E65</f>
        <v>5.2122000000000002</v>
      </c>
    </row>
    <row r="10" spans="1:4" x14ac:dyDescent="0.25">
      <c r="A10" s="1">
        <v>350</v>
      </c>
      <c r="B10" s="13">
        <f>[1]Mediciones!E18</f>
        <v>6.8640000000000008</v>
      </c>
      <c r="C10" s="13">
        <f>[1]Mediciones!E42</f>
        <v>7.2168000000000001</v>
      </c>
      <c r="D10" s="13">
        <f>[1]Mediciones!E66</f>
        <v>7.2720999999999991</v>
      </c>
    </row>
    <row r="11" spans="1:4" x14ac:dyDescent="0.25">
      <c r="A11" s="1">
        <v>400</v>
      </c>
      <c r="B11" s="13">
        <f>[1]Mediciones!E19</f>
        <v>9.4847999999999999</v>
      </c>
      <c r="C11" s="13">
        <f>[1]Mediciones!E43</f>
        <v>9.5127000000000006</v>
      </c>
      <c r="D11" s="13">
        <f>[1]Mediciones!E67</f>
        <v>9.3708000000000009</v>
      </c>
    </row>
    <row r="12" spans="1:4" x14ac:dyDescent="0.25">
      <c r="A12" s="1">
        <v>450</v>
      </c>
      <c r="B12" s="13">
        <f>[1]Mediciones!E20</f>
        <v>12.0852</v>
      </c>
      <c r="C12" s="13">
        <f>[1]Mediciones!E44</f>
        <v>12.146400000000002</v>
      </c>
      <c r="D12" s="13">
        <f>[1]Mediciones!E68</f>
        <v>12.09</v>
      </c>
    </row>
    <row r="13" spans="1:4" x14ac:dyDescent="0.25">
      <c r="A13" s="1">
        <v>500</v>
      </c>
      <c r="B13" s="13">
        <f>[1]Mediciones!E21</f>
        <v>14.939999999999998</v>
      </c>
      <c r="C13" s="13">
        <f>[1]Mediciones!E45</f>
        <v>15.022</v>
      </c>
      <c r="D13" s="13">
        <f>[1]Mediciones!E69</f>
        <v>14.878</v>
      </c>
    </row>
    <row r="14" spans="1:4" x14ac:dyDescent="0.25">
      <c r="A14" s="1">
        <v>550</v>
      </c>
      <c r="B14" s="13">
        <f>[1]Mediciones!E22</f>
        <v>18.234300000000001</v>
      </c>
      <c r="C14" s="13">
        <f>[1]Mediciones!E46</f>
        <v>18.414000000000001</v>
      </c>
      <c r="D14" s="13">
        <f>[1]Mediciones!E70</f>
        <v>18.087700000000002</v>
      </c>
    </row>
    <row r="15" spans="1:4" x14ac:dyDescent="0.25">
      <c r="A15" s="1">
        <v>600</v>
      </c>
      <c r="B15" s="13">
        <f>[1]Mediciones!E23</f>
        <v>21.692</v>
      </c>
      <c r="C15" s="13">
        <f>[1]Mediciones!E47</f>
        <v>21.936199999999999</v>
      </c>
      <c r="D15" s="13">
        <f>[1]Mediciones!E71</f>
        <v>21.527999999999999</v>
      </c>
    </row>
  </sheetData>
  <mergeCells count="2">
    <mergeCell ref="A1:A2"/>
    <mergeCell ref="B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DC97-353F-4925-916A-AB8AC0D7137E}">
  <dimension ref="A1:A27"/>
  <sheetViews>
    <sheetView zoomScale="84" zoomScaleNormal="100" workbookViewId="0">
      <selection activeCell="D75" sqref="D75"/>
    </sheetView>
  </sheetViews>
  <sheetFormatPr baseColWidth="10" defaultRowHeight="15" x14ac:dyDescent="0.25"/>
  <cols>
    <col min="1" max="1" width="38.28515625" bestFit="1" customWidth="1"/>
  </cols>
  <sheetData>
    <row r="1" spans="1:1" ht="23.25" x14ac:dyDescent="0.35">
      <c r="A1" s="15" t="s">
        <v>53</v>
      </c>
    </row>
    <row r="27" spans="1:1" ht="23.25" x14ac:dyDescent="0.35">
      <c r="A27" s="15" t="s">
        <v>54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C991-01F2-4204-960A-C11DAE2084F8}">
  <dimension ref="A1:D22"/>
  <sheetViews>
    <sheetView workbookViewId="0">
      <selection activeCell="A22" sqref="A22:D22"/>
    </sheetView>
  </sheetViews>
  <sheetFormatPr baseColWidth="10" defaultRowHeight="15" x14ac:dyDescent="0.25"/>
  <sheetData>
    <row r="1" spans="1:4" x14ac:dyDescent="0.25">
      <c r="A1" s="16" t="s">
        <v>59</v>
      </c>
      <c r="B1" s="16"/>
      <c r="C1" s="16"/>
      <c r="D1" s="16"/>
    </row>
    <row r="2" spans="1:4" x14ac:dyDescent="0.25">
      <c r="A2" t="s">
        <v>55</v>
      </c>
      <c r="B2" t="s">
        <v>56</v>
      </c>
      <c r="C2" t="s">
        <v>57</v>
      </c>
      <c r="D2" t="s">
        <v>58</v>
      </c>
    </row>
    <row r="3" spans="1:4" x14ac:dyDescent="0.25">
      <c r="A3">
        <v>3.3</v>
      </c>
      <c r="B3">
        <v>230</v>
      </c>
      <c r="C3">
        <v>2061</v>
      </c>
      <c r="D3">
        <f>(C3*A3)/(B3-A3)</f>
        <v>30.001323334803704</v>
      </c>
    </row>
    <row r="4" spans="1:4" x14ac:dyDescent="0.25">
      <c r="A4">
        <f>(B4*D4)/(C4+D4)</f>
        <v>2.5024727992087041</v>
      </c>
      <c r="B4">
        <v>230</v>
      </c>
      <c r="C4">
        <v>2000</v>
      </c>
      <c r="D4">
        <v>22</v>
      </c>
    </row>
    <row r="5" spans="1:4" x14ac:dyDescent="0.25">
      <c r="A5" t="s">
        <v>61</v>
      </c>
    </row>
    <row r="6" spans="1:4" x14ac:dyDescent="0.25">
      <c r="A6" t="s">
        <v>62</v>
      </c>
    </row>
    <row r="8" spans="1:4" x14ac:dyDescent="0.25">
      <c r="A8" s="16" t="s">
        <v>63</v>
      </c>
      <c r="B8" s="16"/>
      <c r="C8" s="16"/>
      <c r="D8" s="16"/>
    </row>
    <row r="9" spans="1:4" x14ac:dyDescent="0.25">
      <c r="A9" t="s">
        <v>60</v>
      </c>
    </row>
    <row r="12" spans="1:4" x14ac:dyDescent="0.25">
      <c r="A12" s="16" t="s">
        <v>64</v>
      </c>
      <c r="B12" s="16"/>
      <c r="C12" s="16"/>
      <c r="D12" s="16"/>
    </row>
    <row r="13" spans="1:4" x14ac:dyDescent="0.25">
      <c r="A13" t="s">
        <v>65</v>
      </c>
    </row>
    <row r="15" spans="1:4" x14ac:dyDescent="0.25">
      <c r="A15" s="16" t="s">
        <v>66</v>
      </c>
      <c r="B15" s="16"/>
      <c r="C15" s="16"/>
      <c r="D15" s="16"/>
    </row>
    <row r="16" spans="1:4" x14ac:dyDescent="0.25">
      <c r="A16" t="s">
        <v>67</v>
      </c>
    </row>
    <row r="19" spans="1:4" x14ac:dyDescent="0.25">
      <c r="A19" s="16" t="s">
        <v>68</v>
      </c>
      <c r="B19" s="16"/>
      <c r="C19" s="16"/>
      <c r="D19" s="16"/>
    </row>
    <row r="20" spans="1:4" x14ac:dyDescent="0.25">
      <c r="A20" t="s">
        <v>70</v>
      </c>
    </row>
    <row r="22" spans="1:4" x14ac:dyDescent="0.25">
      <c r="A22" s="16" t="s">
        <v>69</v>
      </c>
      <c r="B22" s="16"/>
      <c r="C22" s="16"/>
      <c r="D22" s="16"/>
    </row>
  </sheetData>
  <mergeCells count="6">
    <mergeCell ref="A22:D22"/>
    <mergeCell ref="A1:D1"/>
    <mergeCell ref="A8:D8"/>
    <mergeCell ref="A12:D12"/>
    <mergeCell ref="A15:D15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Sin carga</vt:lpstr>
      <vt:lpstr>Con carga </vt:lpstr>
      <vt:lpstr>Mediciones</vt:lpstr>
      <vt:lpstr>Compilado</vt:lpstr>
      <vt:lpstr>EjemplosCapturaDatos</vt:lpstr>
      <vt:lpstr>Posibles sensores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Gonzalez Mayorga</dc:creator>
  <cp:lastModifiedBy>Jonathan David Gonzalez Cubides</cp:lastModifiedBy>
  <dcterms:created xsi:type="dcterms:W3CDTF">2026-02-02T15:04:01Z</dcterms:created>
  <dcterms:modified xsi:type="dcterms:W3CDTF">2026-05-25T02:36:29Z</dcterms:modified>
</cp:coreProperties>
</file>